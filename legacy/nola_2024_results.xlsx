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1-Seed Draw" sheetId="1" state="visible" r:id="rId3"/>
    <sheet name="2-Seed Bracket" sheetId="2" state="visible" r:id="rId4"/>
    <sheet name="3-Seed Scores" sheetId="3" state="visible" r:id="rId5"/>
    <sheet name="4-Seed Results" sheetId="4" state="visible" r:id="rId6"/>
    <sheet name="5-Team Pairings" sheetId="5" state="visible" r:id="rId7"/>
    <sheet name="6-Team Bracket" sheetId="6" state="visible" r:id="rId8"/>
    <sheet name="7-Team Scores" sheetId="7" state="visible" r:id="rId9"/>
    <sheet name="8-Playoff Scores" sheetId="8" state="visible" r:id="rId10"/>
    <sheet name="9-Final Result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6" authorId="0">
      <text>
        <r>
          <rPr>
            <sz val="10"/>
            <rFont val="Arial"/>
            <family val="2"/>
          </rPr>
          <t xml:space="preserve">Changed to 8 from 6, based on other player scores</t>
        </r>
      </text>
    </comment>
    <comment ref="N26" authorId="0">
      <text>
        <r>
          <rPr>
            <sz val="10"/>
            <rFont val="Arial"/>
            <family val="2"/>
          </rPr>
          <t xml:space="preserve">Changed to 62 from 60, based on corrected round 4 score</t>
        </r>
      </text>
    </comment>
    <comment ref="U32" authorId="0">
      <text>
        <r>
          <rPr>
            <sz val="10"/>
            <rFont val="Arial"/>
            <family val="2"/>
          </rPr>
          <t xml:space="preserve">Changed to 5 from 10, based on other player scores</t>
        </r>
      </text>
    </comment>
    <comment ref="W3" authorId="0">
      <text>
        <r>
          <rPr>
            <sz val="10"/>
            <rFont val="Arial"/>
            <family val="2"/>
          </rPr>
          <t xml:space="preserve">Changed to 50 from 51 (presumed value used for Pts Pct computation), unclearly written</t>
        </r>
      </text>
    </comment>
    <comment ref="W32" authorId="0">
      <text>
        <r>
          <rPr>
            <sz val="10"/>
            <rFont val="Arial"/>
            <family val="2"/>
          </rPr>
          <t xml:space="preserve">Changed to 42 from 47, based on corrected round 7 score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2" authorId="0">
      <text>
        <r>
          <rPr>
            <sz val="10"/>
            <rFont val="Arial"/>
            <family val="2"/>
          </rPr>
          <t xml:space="preserve">Changed to 5 from 2, to make consistent with PA4 column (average of discrepancy)</t>
        </r>
      </text>
    </comment>
    <comment ref="I14" authorId="0">
      <text>
        <r>
          <rPr>
            <sz val="10"/>
            <rFont val="Arial"/>
            <family val="2"/>
          </rPr>
          <t xml:space="preserve">Changed to 4 from 8, based on results (bracket) poster</t>
        </r>
      </text>
    </comment>
    <comment ref="R16" authorId="0">
      <text>
        <r>
          <rPr>
            <sz val="10"/>
            <rFont val="Arial"/>
            <family val="2"/>
          </rPr>
          <t xml:space="preserve">Changed to 5 from 2, to make consistent with PF4 column (average of the discrepancy)</t>
        </r>
      </text>
    </comment>
  </commentList>
</comments>
</file>

<file path=xl/sharedStrings.xml><?xml version="1.0" encoding="utf-8"?>
<sst xmlns="http://schemas.openxmlformats.org/spreadsheetml/2006/main" count="493" uniqueCount="249">
  <si>
    <t xml:space="preserve">Num</t>
  </si>
  <si>
    <t xml:space="preserve">Player</t>
  </si>
  <si>
    <t xml:space="preserve">Rooze</t>
  </si>
  <si>
    <t xml:space="preserve">Kong</t>
  </si>
  <si>
    <t xml:space="preserve">Della Grotte</t>
  </si>
  <si>
    <t xml:space="preserve">Kramer</t>
  </si>
  <si>
    <t xml:space="preserve">Bocci</t>
  </si>
  <si>
    <t xml:space="preserve">Romeo</t>
  </si>
  <si>
    <t xml:space="preserve">Cooper</t>
  </si>
  <si>
    <t xml:space="preserve">Latt</t>
  </si>
  <si>
    <t xml:space="preserve">Crash</t>
  </si>
  <si>
    <t xml:space="preserve">Abs</t>
  </si>
  <si>
    <t xml:space="preserve">Lineman</t>
  </si>
  <si>
    <t xml:space="preserve">Obst</t>
  </si>
  <si>
    <t xml:space="preserve">Struble</t>
  </si>
  <si>
    <t xml:space="preserve">Shine</t>
  </si>
  <si>
    <t xml:space="preserve">DiPesa</t>
  </si>
  <si>
    <t xml:space="preserve">Mentle</t>
  </si>
  <si>
    <t xml:space="preserve">Tex</t>
  </si>
  <si>
    <t xml:space="preserve">House</t>
  </si>
  <si>
    <t xml:space="preserve">Nate</t>
  </si>
  <si>
    <t xml:space="preserve">Spike</t>
  </si>
  <si>
    <t xml:space="preserve">Schmanske</t>
  </si>
  <si>
    <t xml:space="preserve">Harris</t>
  </si>
  <si>
    <t xml:space="preserve">Chess</t>
  </si>
  <si>
    <t xml:space="preserve">Chesty</t>
  </si>
  <si>
    <t xml:space="preserve">Ponzio</t>
  </si>
  <si>
    <t xml:space="preserve">Watkins</t>
  </si>
  <si>
    <t xml:space="preserve">Pound</t>
  </si>
  <si>
    <t xml:space="preserve">Virgilio</t>
  </si>
  <si>
    <t xml:space="preserve">Chisolm</t>
  </si>
  <si>
    <t xml:space="preserve">Wee</t>
  </si>
  <si>
    <t xml:space="preserve">Mary</t>
  </si>
  <si>
    <t xml:space="preserve">Cureton</t>
  </si>
  <si>
    <t xml:space="preserve">O’Leary</t>
  </si>
  <si>
    <t xml:space="preserve">Round</t>
  </si>
  <si>
    <t xml:space="preserve">Table 1</t>
  </si>
  <si>
    <t xml:space="preserve">Table 2</t>
  </si>
  <si>
    <t xml:space="preserve">Table 3</t>
  </si>
  <si>
    <t xml:space="preserve">Table 4</t>
  </si>
  <si>
    <t xml:space="preserve">Table 5</t>
  </si>
  <si>
    <t xml:space="preserve">Table 6</t>
  </si>
  <si>
    <t xml:space="preserve">Table 7</t>
  </si>
  <si>
    <t xml:space="preserve">Table 8</t>
  </si>
  <si>
    <t xml:space="preserve">Bye</t>
  </si>
  <si>
    <t xml:space="preserve">1,5,9,29</t>
  </si>
  <si>
    <t xml:space="preserve">3,24,7,18</t>
  </si>
  <si>
    <t xml:space="preserve">4,6,11,32</t>
  </si>
  <si>
    <t xml:space="preserve">8,19,23,33</t>
  </si>
  <si>
    <t xml:space="preserve">10,28,15,30</t>
  </si>
  <si>
    <t xml:space="preserve">12,31,14,26</t>
  </si>
  <si>
    <t xml:space="preserve">13,17,21,25</t>
  </si>
  <si>
    <t xml:space="preserve">16,27,20,22</t>
  </si>
  <si>
    <t xml:space="preserve">1,16,18,30</t>
  </si>
  <si>
    <t xml:space="preserve">2,14,17,32</t>
  </si>
  <si>
    <t xml:space="preserve">3,5,11,15</t>
  </si>
  <si>
    <t xml:space="preserve">4,23,13,28</t>
  </si>
  <si>
    <t xml:space="preserve">6,24,9,26</t>
  </si>
  <si>
    <t xml:space="preserve">7,20,29,33</t>
  </si>
  <si>
    <t xml:space="preserve">8,22,10,25</t>
  </si>
  <si>
    <t xml:space="preserve">19,21,27,31</t>
  </si>
  <si>
    <t xml:space="preserve">1,19,12,25</t>
  </si>
  <si>
    <t xml:space="preserve">2,26,11,20</t>
  </si>
  <si>
    <t xml:space="preserve">3,9,17,28</t>
  </si>
  <si>
    <t xml:space="preserve">4,27,10,18</t>
  </si>
  <si>
    <t xml:space="preserve">6,23,16,31</t>
  </si>
  <si>
    <t xml:space="preserve">7,22,15,32</t>
  </si>
  <si>
    <t xml:space="preserve">8,29,14,21</t>
  </si>
  <si>
    <t xml:space="preserve">13,30,24,33</t>
  </si>
  <si>
    <t xml:space="preserve">1,23,11,14</t>
  </si>
  <si>
    <t xml:space="preserve">2,5,16,28</t>
  </si>
  <si>
    <t xml:space="preserve">3,26,22,29</t>
  </si>
  <si>
    <t xml:space="preserve">4,9,8,31</t>
  </si>
  <si>
    <t xml:space="preserve">6,13,10,19</t>
  </si>
  <si>
    <t xml:space="preserve">7,30,17,27</t>
  </si>
  <si>
    <t xml:space="preserve">12,32,18,33</t>
  </si>
  <si>
    <t xml:space="preserve">15,25,20,24</t>
  </si>
  <si>
    <t xml:space="preserve">1,24,10,32</t>
  </si>
  <si>
    <t xml:space="preserve">2,6,25,30</t>
  </si>
  <si>
    <t xml:space="preserve">3,13,20,31</t>
  </si>
  <si>
    <t xml:space="preserve">4,19,15,29</t>
  </si>
  <si>
    <t xml:space="preserve">5,23,12,27</t>
  </si>
  <si>
    <t xml:space="preserve">7,11,21,28</t>
  </si>
  <si>
    <t xml:space="preserve">8,17,16,26</t>
  </si>
  <si>
    <t xml:space="preserve">9,14,22,33</t>
  </si>
  <si>
    <t xml:space="preserve">1,27,15,33</t>
  </si>
  <si>
    <t xml:space="preserve">2,13,12,22</t>
  </si>
  <si>
    <t xml:space="preserve">3,23,25,32</t>
  </si>
  <si>
    <t xml:space="preserve">4,26,21,30</t>
  </si>
  <si>
    <t xml:space="preserve">5,14,10,20</t>
  </si>
  <si>
    <t xml:space="preserve">6,28,18,29</t>
  </si>
  <si>
    <t xml:space="preserve">7,19,9,16</t>
  </si>
  <si>
    <t xml:space="preserve">11,17,24,31</t>
  </si>
  <si>
    <t xml:space="preserve">1,28,22,31</t>
  </si>
  <si>
    <t xml:space="preserve">2,24,27,29</t>
  </si>
  <si>
    <t xml:space="preserve">4,14,7,25</t>
  </si>
  <si>
    <t xml:space="preserve">5,26,19,32</t>
  </si>
  <si>
    <t xml:space="preserve">6,17,12,15</t>
  </si>
  <si>
    <t xml:space="preserve">8,11,13,18</t>
  </si>
  <si>
    <t xml:space="preserve">9,23,20,30</t>
  </si>
  <si>
    <t xml:space="preserve">10,21,16,33</t>
  </si>
  <si>
    <t xml:space="preserve">2,33,3,4</t>
  </si>
  <si>
    <t xml:space="preserve">5,6,7,8</t>
  </si>
  <si>
    <t xml:space="preserve">9,10,11,12</t>
  </si>
  <si>
    <t xml:space="preserve">13,14,15,16</t>
  </si>
  <si>
    <t xml:space="preserve">17,18,19,20</t>
  </si>
  <si>
    <t xml:space="preserve">21,22,23,24</t>
  </si>
  <si>
    <t xml:space="preserve">25,26,27,28</t>
  </si>
  <si>
    <t xml:space="preserve">29,30,31,32</t>
  </si>
  <si>
    <t xml:space="preserve">Wins</t>
  </si>
  <si>
    <t xml:space="preserve">Losses</t>
  </si>
  <si>
    <t xml:space="preserve">Win Pct</t>
  </si>
  <si>
    <t xml:space="preserve">PF1</t>
  </si>
  <si>
    <t xml:space="preserve">PF2</t>
  </si>
  <si>
    <t xml:space="preserve">PF3</t>
  </si>
  <si>
    <t xml:space="preserve">PF4</t>
  </si>
  <si>
    <t xml:space="preserve">PF5</t>
  </si>
  <si>
    <t xml:space="preserve">PF6</t>
  </si>
  <si>
    <t xml:space="preserve">PF7</t>
  </si>
  <si>
    <t xml:space="preserve">PF8</t>
  </si>
  <si>
    <t xml:space="preserve">PF Total</t>
  </si>
  <si>
    <t xml:space="preserve">PA1</t>
  </si>
  <si>
    <t xml:space="preserve">PA2</t>
  </si>
  <si>
    <t xml:space="preserve">PA3</t>
  </si>
  <si>
    <t xml:space="preserve">PA4</t>
  </si>
  <si>
    <t xml:space="preserve">PA5</t>
  </si>
  <si>
    <t xml:space="preserve">PA6</t>
  </si>
  <si>
    <t xml:space="preserve">PA7</t>
  </si>
  <si>
    <t xml:space="preserve">PA8</t>
  </si>
  <si>
    <t xml:space="preserve">PA Total</t>
  </si>
  <si>
    <t xml:space="preserve">Pts Pct</t>
  </si>
  <si>
    <t xml:space="preserve">-</t>
  </si>
  <si>
    <t xml:space="preserve">Rank</t>
  </si>
  <si>
    <t xml:space="preserve">Team Num</t>
  </si>
  <si>
    <t xml:space="preserve">Player 1</t>
  </si>
  <si>
    <t xml:space="preserve">Rank 1</t>
  </si>
  <si>
    <t xml:space="preserve">Player 2</t>
  </si>
  <si>
    <t xml:space="preserve">Rank 2</t>
  </si>
  <si>
    <t xml:space="preserve">Comb Rank</t>
  </si>
  <si>
    <t xml:space="preserve">Team Seed</t>
  </si>
  <si>
    <t xml:space="preserve">Div Seed</t>
  </si>
  <si>
    <t xml:space="preserve">Div</t>
  </si>
  <si>
    <t xml:space="preserve">Team ID</t>
  </si>
  <si>
    <t xml:space="preserve">Team Name</t>
  </si>
  <si>
    <t xml:space="preserve">A</t>
  </si>
  <si>
    <t xml:space="preserve">B</t>
  </si>
  <si>
    <t xml:space="preserve">House / Latt</t>
  </si>
  <si>
    <t xml:space="preserve">29/5</t>
  </si>
  <si>
    <t xml:space="preserve">1A,8A</t>
  </si>
  <si>
    <t xml:space="preserve">2A,7A</t>
  </si>
  <si>
    <t xml:space="preserve">3A,6A</t>
  </si>
  <si>
    <t xml:space="preserve">4A,5A</t>
  </si>
  <si>
    <t xml:space="preserve">1B,8B</t>
  </si>
  <si>
    <t xml:space="preserve">2B,7B</t>
  </si>
  <si>
    <t xml:space="preserve">3B,6B</t>
  </si>
  <si>
    <t xml:space="preserve">4B,5B</t>
  </si>
  <si>
    <t xml:space="preserve">1A,7A</t>
  </si>
  <si>
    <t xml:space="preserve">2A,5A</t>
  </si>
  <si>
    <t xml:space="preserve">3A,4A</t>
  </si>
  <si>
    <t xml:space="preserve">6A,8A</t>
  </si>
  <si>
    <t xml:space="preserve">1B,7B</t>
  </si>
  <si>
    <t xml:space="preserve">2B,5B</t>
  </si>
  <si>
    <t xml:space="preserve">3B,4B</t>
  </si>
  <si>
    <t xml:space="preserve">6B,8B</t>
  </si>
  <si>
    <t xml:space="preserve">1A,6A</t>
  </si>
  <si>
    <t xml:space="preserve">2A,3A</t>
  </si>
  <si>
    <t xml:space="preserve">4A,8A</t>
  </si>
  <si>
    <t xml:space="preserve">5A,7A</t>
  </si>
  <si>
    <t xml:space="preserve">1B,6B</t>
  </si>
  <si>
    <t xml:space="preserve">2B,3B</t>
  </si>
  <si>
    <t xml:space="preserve">4B,8B</t>
  </si>
  <si>
    <t xml:space="preserve">5B,7B</t>
  </si>
  <si>
    <t xml:space="preserve">1A,5A</t>
  </si>
  <si>
    <t xml:space="preserve">2A,8A</t>
  </si>
  <si>
    <t xml:space="preserve">3A,7A</t>
  </si>
  <si>
    <t xml:space="preserve">4A,6A</t>
  </si>
  <si>
    <t xml:space="preserve">1B,5B</t>
  </si>
  <si>
    <t xml:space="preserve">2B,8B</t>
  </si>
  <si>
    <t xml:space="preserve">3B,7B</t>
  </si>
  <si>
    <t xml:space="preserve">4B,6B</t>
  </si>
  <si>
    <t xml:space="preserve">1A,4A</t>
  </si>
  <si>
    <t xml:space="preserve">2A,6A</t>
  </si>
  <si>
    <t xml:space="preserve">3A,5A</t>
  </si>
  <si>
    <t xml:space="preserve">7A,8A</t>
  </si>
  <si>
    <t xml:space="preserve">1B,4B</t>
  </si>
  <si>
    <t xml:space="preserve">2B,6B</t>
  </si>
  <si>
    <t xml:space="preserve">3B,5B</t>
  </si>
  <si>
    <t xml:space="preserve">7B,8B</t>
  </si>
  <si>
    <t xml:space="preserve">1A,3A</t>
  </si>
  <si>
    <t xml:space="preserve">2A,4A</t>
  </si>
  <si>
    <t xml:space="preserve">5A,8A</t>
  </si>
  <si>
    <t xml:space="preserve">6A,7A</t>
  </si>
  <si>
    <t xml:space="preserve">1B,3B</t>
  </si>
  <si>
    <t xml:space="preserve">2B,4B</t>
  </si>
  <si>
    <t xml:space="preserve">5B,8B</t>
  </si>
  <si>
    <t xml:space="preserve">6B,7B</t>
  </si>
  <si>
    <t xml:space="preserve">1A,2A</t>
  </si>
  <si>
    <t xml:space="preserve">3A,8A</t>
  </si>
  <si>
    <t xml:space="preserve">4A,7A</t>
  </si>
  <si>
    <t xml:space="preserve">5A,6A</t>
  </si>
  <si>
    <t xml:space="preserve">1B,2B</t>
  </si>
  <si>
    <t xml:space="preserve">3B,8B</t>
  </si>
  <si>
    <t xml:space="preserve">4B,7B</t>
  </si>
  <si>
    <t xml:space="preserve">5B,6B</t>
  </si>
  <si>
    <t xml:space="preserve">1A,8B</t>
  </si>
  <si>
    <t xml:space="preserve">2A,7B</t>
  </si>
  <si>
    <t xml:space="preserve">3A,6B</t>
  </si>
  <si>
    <t xml:space="preserve">4A,5B</t>
  </si>
  <si>
    <t xml:space="preserve">4B,5A</t>
  </si>
  <si>
    <t xml:space="preserve">3B,6A</t>
  </si>
  <si>
    <t xml:space="preserve">2B,7A</t>
  </si>
  <si>
    <t xml:space="preserve">1B,8A</t>
  </si>
  <si>
    <t xml:space="preserve">Team</t>
  </si>
  <si>
    <t xml:space="preserve">1A</t>
  </si>
  <si>
    <t xml:space="preserve">Romeo / Kong</t>
  </si>
  <si>
    <t xml:space="preserve">2A</t>
  </si>
  <si>
    <t xml:space="preserve">Mary / Kramer</t>
  </si>
  <si>
    <t xml:space="preserve">3A</t>
  </si>
  <si>
    <t xml:space="preserve">Cooper / Mentle</t>
  </si>
  <si>
    <t xml:space="preserve">4A</t>
  </si>
  <si>
    <t xml:space="preserve">Virgilio / Nate</t>
  </si>
  <si>
    <t xml:space="preserve">5A</t>
  </si>
  <si>
    <t xml:space="preserve">Pound / Watkins</t>
  </si>
  <si>
    <t xml:space="preserve">6A</t>
  </si>
  <si>
    <t xml:space="preserve">Struble / Chess</t>
  </si>
  <si>
    <t xml:space="preserve">7A</t>
  </si>
  <si>
    <t xml:space="preserve">O’Leary / Lineman</t>
  </si>
  <si>
    <t xml:space="preserve">8A</t>
  </si>
  <si>
    <t xml:space="preserve">Chesty / Tex</t>
  </si>
  <si>
    <t xml:space="preserve">1B</t>
  </si>
  <si>
    <t xml:space="preserve">Shine / Rooze</t>
  </si>
  <si>
    <t xml:space="preserve">2B</t>
  </si>
  <si>
    <t xml:space="preserve">Harris / Bocci</t>
  </si>
  <si>
    <t xml:space="preserve">3B</t>
  </si>
  <si>
    <t xml:space="preserve">Obst / Wee</t>
  </si>
  <si>
    <t xml:space="preserve">4B</t>
  </si>
  <si>
    <t xml:space="preserve">Spike / Cureton</t>
  </si>
  <si>
    <t xml:space="preserve">5B</t>
  </si>
  <si>
    <t xml:space="preserve">Abs / Crash</t>
  </si>
  <si>
    <t xml:space="preserve">6B</t>
  </si>
  <si>
    <t xml:space="preserve">Schmanske / Ponzio</t>
  </si>
  <si>
    <t xml:space="preserve">7B</t>
  </si>
  <si>
    <t xml:space="preserve">Chisolm / DiPesa</t>
  </si>
  <si>
    <t xml:space="preserve">8B</t>
  </si>
  <si>
    <t xml:space="preserve">Della Grotte / House / Latt</t>
  </si>
  <si>
    <t xml:space="preserve">Final Rank</t>
  </si>
  <si>
    <t xml:space="preserve">FF Matches</t>
  </si>
  <si>
    <t xml:space="preserve">FF Win Pct</t>
  </si>
  <si>
    <t xml:space="preserve">FF Pts Pct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</si>
</sst>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66"/>
  </cols>
  <sheetData>
    <row r="1" customFormat="false" ht="12.8" hidden="false" customHeight="false" outlineLevel="0" collapsed="false">
      <c r="A1" s="2" t="s">
        <v>0</v>
      </c>
      <c r="B1" s="3" t="s">
        <v>1</v>
      </c>
    </row>
    <row r="2" customFormat="false" ht="12.8" hidden="false" customHeight="false" outlineLevel="0" collapsed="false">
      <c r="A2" s="1" t="n">
        <v>1</v>
      </c>
      <c r="B2" s="4" t="s">
        <v>2</v>
      </c>
    </row>
    <row r="3" customFormat="false" ht="12.8" hidden="false" customHeight="false" outlineLevel="0" collapsed="false">
      <c r="A3" s="1" t="n">
        <v>2</v>
      </c>
      <c r="B3" s="4" t="s">
        <v>3</v>
      </c>
    </row>
    <row r="4" customFormat="false" ht="12.8" hidden="false" customHeight="false" outlineLevel="0" collapsed="false">
      <c r="A4" s="1" t="n">
        <v>3</v>
      </c>
      <c r="B4" s="4" t="s">
        <v>4</v>
      </c>
    </row>
    <row r="5" customFormat="false" ht="12.8" hidden="false" customHeight="false" outlineLevel="0" collapsed="false">
      <c r="A5" s="1" t="n">
        <v>4</v>
      </c>
      <c r="B5" s="4" t="s">
        <v>5</v>
      </c>
    </row>
    <row r="6" customFormat="false" ht="12.8" hidden="false" customHeight="false" outlineLevel="0" collapsed="false">
      <c r="A6" s="1" t="n">
        <v>5</v>
      </c>
      <c r="B6" s="4" t="s">
        <v>6</v>
      </c>
    </row>
    <row r="7" customFormat="false" ht="12.8" hidden="false" customHeight="false" outlineLevel="0" collapsed="false">
      <c r="A7" s="1" t="n">
        <v>6</v>
      </c>
      <c r="B7" s="4" t="s">
        <v>7</v>
      </c>
    </row>
    <row r="8" customFormat="false" ht="12.8" hidden="false" customHeight="false" outlineLevel="0" collapsed="false">
      <c r="A8" s="1" t="n">
        <v>7</v>
      </c>
      <c r="B8" s="4" t="s">
        <v>8</v>
      </c>
    </row>
    <row r="9" customFormat="false" ht="12.8" hidden="false" customHeight="false" outlineLevel="0" collapsed="false">
      <c r="A9" s="1" t="n">
        <v>8</v>
      </c>
      <c r="B9" s="4" t="s">
        <v>9</v>
      </c>
    </row>
    <row r="10" customFormat="false" ht="12.8" hidden="false" customHeight="false" outlineLevel="0" collapsed="false">
      <c r="A10" s="1" t="n">
        <v>9</v>
      </c>
      <c r="B10" s="4" t="s">
        <v>10</v>
      </c>
    </row>
    <row r="11" customFormat="false" ht="12.8" hidden="false" customHeight="false" outlineLevel="0" collapsed="false">
      <c r="A11" s="1" t="n">
        <v>10</v>
      </c>
      <c r="B11" s="4" t="s">
        <v>11</v>
      </c>
    </row>
    <row r="12" customFormat="false" ht="12.8" hidden="false" customHeight="false" outlineLevel="0" collapsed="false">
      <c r="A12" s="1" t="n">
        <v>11</v>
      </c>
      <c r="B12" s="4" t="s">
        <v>12</v>
      </c>
    </row>
    <row r="13" customFormat="false" ht="12.8" hidden="false" customHeight="false" outlineLevel="0" collapsed="false">
      <c r="A13" s="1" t="n">
        <v>12</v>
      </c>
      <c r="B13" s="4" t="s">
        <v>13</v>
      </c>
    </row>
    <row r="14" customFormat="false" ht="12.8" hidden="false" customHeight="false" outlineLevel="0" collapsed="false">
      <c r="A14" s="1" t="n">
        <v>13</v>
      </c>
      <c r="B14" s="4" t="s">
        <v>14</v>
      </c>
    </row>
    <row r="15" customFormat="false" ht="12.8" hidden="false" customHeight="false" outlineLevel="0" collapsed="false">
      <c r="A15" s="1" t="n">
        <v>14</v>
      </c>
      <c r="B15" s="4" t="s">
        <v>15</v>
      </c>
    </row>
    <row r="16" customFormat="false" ht="12.8" hidden="false" customHeight="false" outlineLevel="0" collapsed="false">
      <c r="A16" s="1" t="n">
        <v>15</v>
      </c>
      <c r="B16" s="4" t="s">
        <v>16</v>
      </c>
    </row>
    <row r="17" customFormat="false" ht="12.8" hidden="false" customHeight="false" outlineLevel="0" collapsed="false">
      <c r="A17" s="1" t="n">
        <v>16</v>
      </c>
      <c r="B17" s="4" t="s">
        <v>17</v>
      </c>
    </row>
    <row r="18" customFormat="false" ht="12.8" hidden="false" customHeight="false" outlineLevel="0" collapsed="false">
      <c r="A18" s="1" t="n">
        <v>17</v>
      </c>
      <c r="B18" s="4" t="s">
        <v>18</v>
      </c>
    </row>
    <row r="19" customFormat="false" ht="12.8" hidden="false" customHeight="false" outlineLevel="0" collapsed="false">
      <c r="A19" s="1" t="n">
        <v>18</v>
      </c>
      <c r="B19" s="4" t="s">
        <v>19</v>
      </c>
    </row>
    <row r="20" customFormat="false" ht="12.8" hidden="false" customHeight="false" outlineLevel="0" collapsed="false">
      <c r="A20" s="1" t="n">
        <v>19</v>
      </c>
      <c r="B20" s="4" t="s">
        <v>20</v>
      </c>
    </row>
    <row r="21" customFormat="false" ht="12.8" hidden="false" customHeight="false" outlineLevel="0" collapsed="false">
      <c r="A21" s="1" t="n">
        <v>20</v>
      </c>
      <c r="B21" s="4" t="s">
        <v>21</v>
      </c>
    </row>
    <row r="22" customFormat="false" ht="12.8" hidden="false" customHeight="false" outlineLevel="0" collapsed="false">
      <c r="A22" s="1" t="n">
        <v>21</v>
      </c>
      <c r="B22" s="4" t="s">
        <v>22</v>
      </c>
    </row>
    <row r="23" customFormat="false" ht="12.8" hidden="false" customHeight="false" outlineLevel="0" collapsed="false">
      <c r="A23" s="1" t="n">
        <v>22</v>
      </c>
      <c r="B23" s="4" t="s">
        <v>23</v>
      </c>
    </row>
    <row r="24" customFormat="false" ht="12.8" hidden="false" customHeight="false" outlineLevel="0" collapsed="false">
      <c r="A24" s="1" t="n">
        <v>23</v>
      </c>
      <c r="B24" s="4" t="s">
        <v>24</v>
      </c>
    </row>
    <row r="25" customFormat="false" ht="12.8" hidden="false" customHeight="false" outlineLevel="0" collapsed="false">
      <c r="A25" s="1" t="n">
        <v>24</v>
      </c>
      <c r="B25" s="4" t="s">
        <v>25</v>
      </c>
    </row>
    <row r="26" customFormat="false" ht="12.8" hidden="false" customHeight="false" outlineLevel="0" collapsed="false">
      <c r="A26" s="1" t="n">
        <v>25</v>
      </c>
      <c r="B26" s="4" t="s">
        <v>26</v>
      </c>
    </row>
    <row r="27" customFormat="false" ht="12.8" hidden="false" customHeight="false" outlineLevel="0" collapsed="false">
      <c r="A27" s="1" t="n">
        <v>26</v>
      </c>
      <c r="B27" s="4" t="s">
        <v>27</v>
      </c>
    </row>
    <row r="28" customFormat="false" ht="12.8" hidden="false" customHeight="false" outlineLevel="0" collapsed="false">
      <c r="A28" s="1" t="n">
        <v>27</v>
      </c>
      <c r="B28" s="4" t="s">
        <v>28</v>
      </c>
    </row>
    <row r="29" customFormat="false" ht="12.8" hidden="false" customHeight="false" outlineLevel="0" collapsed="false">
      <c r="A29" s="1" t="n">
        <v>28</v>
      </c>
      <c r="B29" s="4" t="s">
        <v>29</v>
      </c>
    </row>
    <row r="30" customFormat="false" ht="12.8" hidden="false" customHeight="false" outlineLevel="0" collapsed="false">
      <c r="A30" s="1" t="n">
        <v>29</v>
      </c>
      <c r="B30" s="4" t="s">
        <v>30</v>
      </c>
    </row>
    <row r="31" customFormat="false" ht="12.8" hidden="false" customHeight="false" outlineLevel="0" collapsed="false">
      <c r="A31" s="1" t="n">
        <v>30</v>
      </c>
      <c r="B31" s="4" t="s">
        <v>31</v>
      </c>
    </row>
    <row r="32" customFormat="false" ht="12.8" hidden="false" customHeight="false" outlineLevel="0" collapsed="false">
      <c r="A32" s="1" t="n">
        <v>31</v>
      </c>
      <c r="B32" s="4" t="s">
        <v>32</v>
      </c>
    </row>
    <row r="33" customFormat="false" ht="12.8" hidden="false" customHeight="false" outlineLevel="0" collapsed="false">
      <c r="A33" s="1" t="n">
        <v>32</v>
      </c>
      <c r="B33" s="4" t="s">
        <v>33</v>
      </c>
    </row>
    <row r="34" customFormat="false" ht="12.8" hidden="false" customHeight="false" outlineLevel="0" collapsed="false">
      <c r="A34" s="1" t="n">
        <v>33</v>
      </c>
      <c r="B34" s="4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7.57"/>
    <col collapsed="false" customWidth="true" hidden="false" outlineLevel="0" max="10" min="10" style="5" width="5.97"/>
  </cols>
  <sheetData>
    <row r="1" customFormat="false" ht="12.8" hidden="false" customHeight="false" outlineLevel="0" collapsed="false">
      <c r="A1" s="2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</row>
    <row r="2" customFormat="false" ht="12.8" hidden="false" customHeight="false" outlineLevel="0" collapsed="false">
      <c r="A2" s="2" t="n">
        <v>1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J2" s="4" t="n">
        <v>2</v>
      </c>
    </row>
    <row r="3" customFormat="false" ht="12.8" hidden="false" customHeight="false" outlineLevel="0" collapsed="false">
      <c r="A3" s="2" t="n">
        <v>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  <c r="I3" s="4" t="s">
        <v>60</v>
      </c>
      <c r="J3" s="5" t="n">
        <v>12</v>
      </c>
    </row>
    <row r="4" customFormat="false" ht="12.8" hidden="false" customHeight="false" outlineLevel="0" collapsed="false">
      <c r="A4" s="2" t="n">
        <v>3</v>
      </c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66</v>
      </c>
      <c r="H4" s="4" t="s">
        <v>67</v>
      </c>
      <c r="I4" s="4" t="s">
        <v>68</v>
      </c>
      <c r="J4" s="4" t="n">
        <v>5</v>
      </c>
    </row>
    <row r="5" customFormat="false" ht="12.8" hidden="false" customHeight="false" outlineLevel="0" collapsed="false">
      <c r="A5" s="2" t="n">
        <v>4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  <c r="I5" s="4" t="s">
        <v>76</v>
      </c>
      <c r="J5" s="5" t="n">
        <v>21</v>
      </c>
    </row>
    <row r="6" customFormat="false" ht="12.8" hidden="false" customHeight="false" outlineLevel="0" collapsed="false">
      <c r="A6" s="2" t="n">
        <v>5</v>
      </c>
      <c r="B6" s="4" t="s">
        <v>77</v>
      </c>
      <c r="C6" s="4" t="s">
        <v>78</v>
      </c>
      <c r="D6" s="4" t="s">
        <v>79</v>
      </c>
      <c r="E6" s="4" t="s">
        <v>80</v>
      </c>
      <c r="F6" s="4" t="s">
        <v>81</v>
      </c>
      <c r="G6" s="4" t="s">
        <v>82</v>
      </c>
      <c r="H6" s="4" t="s">
        <v>83</v>
      </c>
      <c r="I6" s="4" t="s">
        <v>84</v>
      </c>
      <c r="J6" s="4" t="n">
        <v>18</v>
      </c>
    </row>
    <row r="7" customFormat="false" ht="12.8" hidden="false" customHeight="false" outlineLevel="0" collapsed="false">
      <c r="A7" s="2" t="n">
        <v>6</v>
      </c>
      <c r="B7" s="4" t="s">
        <v>85</v>
      </c>
      <c r="C7" s="4" t="s">
        <v>86</v>
      </c>
      <c r="D7" s="4" t="s">
        <v>87</v>
      </c>
      <c r="E7" s="4" t="s">
        <v>88</v>
      </c>
      <c r="F7" s="4" t="s">
        <v>89</v>
      </c>
      <c r="G7" s="4" t="s">
        <v>90</v>
      </c>
      <c r="H7" s="4" t="s">
        <v>91</v>
      </c>
      <c r="I7" s="4" t="s">
        <v>92</v>
      </c>
      <c r="J7" s="5" t="n">
        <v>8</v>
      </c>
    </row>
    <row r="8" customFormat="false" ht="12.8" hidden="false" customHeight="false" outlineLevel="0" collapsed="false">
      <c r="A8" s="2" t="n">
        <v>7</v>
      </c>
      <c r="B8" s="4" t="s">
        <v>93</v>
      </c>
      <c r="C8" s="4" t="s">
        <v>94</v>
      </c>
      <c r="D8" s="4" t="s">
        <v>95</v>
      </c>
      <c r="E8" s="4" t="s">
        <v>96</v>
      </c>
      <c r="F8" s="4" t="s">
        <v>97</v>
      </c>
      <c r="G8" s="4" t="s">
        <v>98</v>
      </c>
      <c r="H8" s="4" t="s">
        <v>99</v>
      </c>
      <c r="I8" s="4" t="s">
        <v>100</v>
      </c>
      <c r="J8" s="4" t="n">
        <v>3</v>
      </c>
    </row>
    <row r="9" customFormat="false" ht="12.8" hidden="false" customHeight="false" outlineLevel="0" collapsed="false">
      <c r="A9" s="2" t="n">
        <v>8</v>
      </c>
      <c r="B9" s="4" t="s">
        <v>101</v>
      </c>
      <c r="C9" s="4" t="s">
        <v>102</v>
      </c>
      <c r="D9" s="4" t="s">
        <v>103</v>
      </c>
      <c r="E9" s="4" t="s">
        <v>104</v>
      </c>
      <c r="F9" s="4" t="s">
        <v>105</v>
      </c>
      <c r="G9" s="4" t="s">
        <v>106</v>
      </c>
      <c r="H9" s="4" t="s">
        <v>107</v>
      </c>
      <c r="I9" s="4" t="s">
        <v>108</v>
      </c>
      <c r="J9" s="5" t="n">
        <v>1</v>
      </c>
    </row>
    <row r="10" customFormat="false" ht="12.8" hidden="false" customHeight="false" outlineLevel="0" collapsed="false">
      <c r="J10" s="4"/>
    </row>
    <row r="12" customFormat="false" ht="12.8" hidden="false" customHeight="false" outlineLevel="0" collapsed="false">
      <c r="J12" s="4"/>
    </row>
    <row r="15" customFormat="false" ht="12.8" hidden="false" customHeight="false" outlineLevel="0" collapsed="false">
      <c r="J15" s="4"/>
    </row>
    <row r="17" customFormat="false" ht="12.8" hidden="false" customHeight="false" outlineLevel="0" collapsed="false">
      <c r="J1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2" ySplit="0" topLeftCell="C1" activePane="topRight" state="frozen"/>
      <selection pane="topLeft" activeCell="A1" activeCellId="0" sqref="A1"/>
      <selection pane="topRight" activeCell="A33" activeCellId="0" sqref="A3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66"/>
    <col collapsed="false" customWidth="true" hidden="false" outlineLevel="0" max="2" min="2" style="4" width="11.65"/>
    <col collapsed="false" customWidth="true" hidden="false" outlineLevel="0" max="4" min="3" style="6" width="7.16"/>
    <col collapsed="false" customWidth="true" hidden="false" outlineLevel="0" max="5" min="5" style="7" width="8.37"/>
    <col collapsed="false" customWidth="true" hidden="false" outlineLevel="0" max="13" min="6" style="6" width="5.66"/>
    <col collapsed="false" customWidth="true" hidden="false" outlineLevel="0" max="14" min="14" style="6" width="8.96"/>
    <col collapsed="false" customWidth="true" hidden="false" outlineLevel="0" max="22" min="15" style="6" width="5.76"/>
    <col collapsed="false" customWidth="true" hidden="false" outlineLevel="0" max="23" min="23" style="6" width="9.16"/>
    <col collapsed="false" customWidth="true" hidden="false" outlineLevel="0" max="24" min="24" style="7" width="7.88"/>
  </cols>
  <sheetData>
    <row r="1" customFormat="false" ht="12.8" hidden="false" customHeight="false" outlineLevel="0" collapsed="false">
      <c r="A1" s="2" t="s">
        <v>0</v>
      </c>
      <c r="B1" s="3" t="s">
        <v>1</v>
      </c>
      <c r="C1" s="2" t="s">
        <v>109</v>
      </c>
      <c r="D1" s="2" t="s">
        <v>110</v>
      </c>
      <c r="E1" s="8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2" t="s">
        <v>118</v>
      </c>
      <c r="M1" s="2" t="s">
        <v>119</v>
      </c>
      <c r="N1" s="2" t="s">
        <v>120</v>
      </c>
      <c r="O1" s="2" t="s">
        <v>121</v>
      </c>
      <c r="P1" s="2" t="s">
        <v>122</v>
      </c>
      <c r="Q1" s="2" t="s">
        <v>123</v>
      </c>
      <c r="R1" s="2" t="s">
        <v>124</v>
      </c>
      <c r="S1" s="2" t="s">
        <v>125</v>
      </c>
      <c r="T1" s="2" t="s">
        <v>126</v>
      </c>
      <c r="U1" s="2" t="s">
        <v>127</v>
      </c>
      <c r="V1" s="2" t="s">
        <v>128</v>
      </c>
      <c r="W1" s="2" t="s">
        <v>129</v>
      </c>
      <c r="X1" s="8" t="s">
        <v>130</v>
      </c>
    </row>
    <row r="2" customFormat="false" ht="12.8" hidden="false" customHeight="false" outlineLevel="0" collapsed="false">
      <c r="A2" s="1" t="n">
        <v>1</v>
      </c>
      <c r="B2" s="4" t="s">
        <v>2</v>
      </c>
      <c r="C2" s="6" t="n">
        <f aca="false">COUNTIF(F2:M2,10)</f>
        <v>4</v>
      </c>
      <c r="D2" s="6" t="n">
        <f aca="false">COUNTIF(O2:V2,10)</f>
        <v>3</v>
      </c>
      <c r="E2" s="7" t="n">
        <f aca="false">C2/(C2+D2)</f>
        <v>0.571428571428571</v>
      </c>
      <c r="F2" s="6" t="n">
        <v>10</v>
      </c>
      <c r="G2" s="6" t="n">
        <v>10</v>
      </c>
      <c r="H2" s="6" t="n">
        <v>4</v>
      </c>
      <c r="I2" s="6" t="n">
        <v>10</v>
      </c>
      <c r="J2" s="6" t="n">
        <v>9</v>
      </c>
      <c r="K2" s="6" t="n">
        <v>10</v>
      </c>
      <c r="L2" s="6" t="n">
        <v>5</v>
      </c>
      <c r="M2" s="6" t="s">
        <v>131</v>
      </c>
      <c r="N2" s="6" t="n">
        <v>58</v>
      </c>
      <c r="O2" s="6" t="n">
        <v>7</v>
      </c>
      <c r="P2" s="6" t="n">
        <v>2</v>
      </c>
      <c r="Q2" s="6" t="n">
        <v>10</v>
      </c>
      <c r="R2" s="6" t="n">
        <v>6</v>
      </c>
      <c r="S2" s="6" t="n">
        <v>10</v>
      </c>
      <c r="T2" s="6" t="n">
        <v>4</v>
      </c>
      <c r="U2" s="6" t="n">
        <v>10</v>
      </c>
      <c r="V2" s="6" t="s">
        <v>131</v>
      </c>
      <c r="W2" s="6" t="n">
        <v>49</v>
      </c>
      <c r="X2" s="7" t="n">
        <f aca="false">N2/(N2+W2)</f>
        <v>0.542056074766355</v>
      </c>
    </row>
    <row r="3" customFormat="false" ht="12.8" hidden="false" customHeight="false" outlineLevel="0" collapsed="false">
      <c r="A3" s="1" t="n">
        <v>2</v>
      </c>
      <c r="B3" s="4" t="s">
        <v>3</v>
      </c>
      <c r="C3" s="6" t="n">
        <f aca="false">COUNTIF(F3:M3,10)</f>
        <v>5</v>
      </c>
      <c r="D3" s="6" t="n">
        <f aca="false">COUNTIF(O3:V3,10)</f>
        <v>2</v>
      </c>
      <c r="E3" s="7" t="n">
        <f aca="false">C3/(C3+D3)</f>
        <v>0.714285714285714</v>
      </c>
      <c r="F3" s="6" t="s">
        <v>131</v>
      </c>
      <c r="G3" s="6" t="n">
        <v>10</v>
      </c>
      <c r="H3" s="6" t="n">
        <v>10</v>
      </c>
      <c r="I3" s="6" t="n">
        <v>10</v>
      </c>
      <c r="J3" s="6" t="n">
        <v>10</v>
      </c>
      <c r="K3" s="6" t="n">
        <v>10</v>
      </c>
      <c r="L3" s="6" t="n">
        <v>1</v>
      </c>
      <c r="M3" s="6" t="n">
        <v>9</v>
      </c>
      <c r="N3" s="6" t="n">
        <v>60</v>
      </c>
      <c r="O3" s="6" t="s">
        <v>131</v>
      </c>
      <c r="P3" s="6" t="n">
        <v>6</v>
      </c>
      <c r="Q3" s="6" t="n">
        <v>9</v>
      </c>
      <c r="R3" s="6" t="n">
        <v>5</v>
      </c>
      <c r="S3" s="6" t="n">
        <v>2</v>
      </c>
      <c r="T3" s="6" t="n">
        <v>9</v>
      </c>
      <c r="U3" s="6" t="n">
        <v>10</v>
      </c>
      <c r="V3" s="6" t="n">
        <v>10</v>
      </c>
      <c r="W3" s="9" t="n">
        <v>50</v>
      </c>
      <c r="X3" s="7" t="n">
        <f aca="false">N3/(N3+W3)</f>
        <v>0.545454545454545</v>
      </c>
    </row>
    <row r="4" customFormat="false" ht="12.8" hidden="false" customHeight="false" outlineLevel="0" collapsed="false">
      <c r="A4" s="1" t="n">
        <v>3</v>
      </c>
      <c r="B4" s="5" t="s">
        <v>4</v>
      </c>
      <c r="C4" s="6" t="n">
        <f aca="false">COUNTIF(F4:M4,10)</f>
        <v>2</v>
      </c>
      <c r="D4" s="6" t="n">
        <f aca="false">COUNTIF(O4:V4,10)</f>
        <v>5</v>
      </c>
      <c r="E4" s="7" t="n">
        <f aca="false">C4/(C4+D4)</f>
        <v>0.285714285714286</v>
      </c>
      <c r="F4" s="6" t="n">
        <v>6</v>
      </c>
      <c r="G4" s="6" t="n">
        <v>9</v>
      </c>
      <c r="H4" s="6" t="n">
        <v>5</v>
      </c>
      <c r="I4" s="6" t="n">
        <v>4</v>
      </c>
      <c r="J4" s="6" t="n">
        <v>6</v>
      </c>
      <c r="K4" s="6" t="n">
        <v>10</v>
      </c>
      <c r="L4" s="6" t="s">
        <v>131</v>
      </c>
      <c r="M4" s="6" t="n">
        <v>10</v>
      </c>
      <c r="N4" s="6" t="n">
        <v>50</v>
      </c>
      <c r="O4" s="6" t="n">
        <v>10</v>
      </c>
      <c r="P4" s="6" t="n">
        <v>10</v>
      </c>
      <c r="Q4" s="6" t="n">
        <v>10</v>
      </c>
      <c r="R4" s="6" t="n">
        <v>10</v>
      </c>
      <c r="S4" s="6" t="n">
        <v>10</v>
      </c>
      <c r="T4" s="6" t="n">
        <v>8</v>
      </c>
      <c r="U4" s="6" t="s">
        <v>131</v>
      </c>
      <c r="V4" s="6" t="n">
        <v>9</v>
      </c>
      <c r="W4" s="6" t="n">
        <v>67</v>
      </c>
      <c r="X4" s="7" t="n">
        <f aca="false">N4/(N4+W4)</f>
        <v>0.427350427350427</v>
      </c>
    </row>
    <row r="5" customFormat="false" ht="12.8" hidden="false" customHeight="false" outlineLevel="0" collapsed="false">
      <c r="A5" s="1" t="n">
        <v>4</v>
      </c>
      <c r="B5" s="4" t="s">
        <v>5</v>
      </c>
      <c r="C5" s="6" t="n">
        <f aca="false">COUNTIF(F5:M5,10)</f>
        <v>4</v>
      </c>
      <c r="D5" s="6" t="n">
        <f aca="false">COUNTIF(O5:V5,10)</f>
        <v>4</v>
      </c>
      <c r="E5" s="7" t="n">
        <f aca="false">C5/(C5+D5)</f>
        <v>0.5</v>
      </c>
      <c r="F5" s="6" t="n">
        <v>10</v>
      </c>
      <c r="G5" s="6" t="n">
        <v>4</v>
      </c>
      <c r="H5" s="6" t="n">
        <v>5</v>
      </c>
      <c r="I5" s="6" t="n">
        <v>3</v>
      </c>
      <c r="J5" s="6" t="n">
        <v>10</v>
      </c>
      <c r="K5" s="6" t="n">
        <v>1</v>
      </c>
      <c r="L5" s="6" t="n">
        <v>10</v>
      </c>
      <c r="M5" s="6" t="n">
        <v>10</v>
      </c>
      <c r="N5" s="6" t="n">
        <v>53</v>
      </c>
      <c r="O5" s="6" t="n">
        <v>3</v>
      </c>
      <c r="P5" s="6" t="n">
        <v>10</v>
      </c>
      <c r="Q5" s="6" t="n">
        <v>10</v>
      </c>
      <c r="R5" s="6" t="n">
        <v>10</v>
      </c>
      <c r="S5" s="6" t="n">
        <v>8</v>
      </c>
      <c r="T5" s="6" t="n">
        <v>10</v>
      </c>
      <c r="U5" s="6" t="n">
        <v>7</v>
      </c>
      <c r="V5" s="6" t="n">
        <v>9</v>
      </c>
      <c r="W5" s="6" t="n">
        <v>67</v>
      </c>
      <c r="X5" s="7" t="n">
        <f aca="false">N5/(N5+W5)</f>
        <v>0.441666666666667</v>
      </c>
    </row>
    <row r="6" customFormat="false" ht="12.8" hidden="false" customHeight="false" outlineLevel="0" collapsed="false">
      <c r="A6" s="1" t="n">
        <v>5</v>
      </c>
      <c r="B6" s="4" t="s">
        <v>6</v>
      </c>
      <c r="C6" s="6" t="n">
        <f aca="false">COUNTIF(F6:M6,10)</f>
        <v>3</v>
      </c>
      <c r="D6" s="6" t="n">
        <f aca="false">COUNTIF(O6:V6,10)</f>
        <v>4</v>
      </c>
      <c r="E6" s="7" t="n">
        <f aca="false">C6/(C6+D6)</f>
        <v>0.428571428571429</v>
      </c>
      <c r="F6" s="6" t="n">
        <v>10</v>
      </c>
      <c r="G6" s="6" t="n">
        <v>9</v>
      </c>
      <c r="H6" s="6" t="s">
        <v>131</v>
      </c>
      <c r="I6" s="6" t="n">
        <v>10</v>
      </c>
      <c r="J6" s="6" t="n">
        <v>8</v>
      </c>
      <c r="K6" s="6" t="n">
        <v>10</v>
      </c>
      <c r="L6" s="6" t="n">
        <v>4</v>
      </c>
      <c r="M6" s="6" t="n">
        <v>1</v>
      </c>
      <c r="N6" s="6" t="n">
        <v>52</v>
      </c>
      <c r="O6" s="6" t="n">
        <v>7</v>
      </c>
      <c r="P6" s="6" t="n">
        <v>10</v>
      </c>
      <c r="Q6" s="6" t="s">
        <v>131</v>
      </c>
      <c r="R6" s="6" t="n">
        <v>5</v>
      </c>
      <c r="S6" s="6" t="n">
        <v>10</v>
      </c>
      <c r="T6" s="6" t="n">
        <v>9</v>
      </c>
      <c r="U6" s="6" t="n">
        <v>10</v>
      </c>
      <c r="V6" s="6" t="n">
        <v>10</v>
      </c>
      <c r="W6" s="6" t="n">
        <v>61</v>
      </c>
      <c r="X6" s="7" t="n">
        <f aca="false">N6/(N6+W6)</f>
        <v>0.460176991150442</v>
      </c>
    </row>
    <row r="7" customFormat="false" ht="12.8" hidden="false" customHeight="false" outlineLevel="0" collapsed="false">
      <c r="A7" s="1" t="n">
        <v>6</v>
      </c>
      <c r="B7" s="5" t="s">
        <v>7</v>
      </c>
      <c r="C7" s="6" t="n">
        <f aca="false">COUNTIF(F7:M7,10)</f>
        <v>6</v>
      </c>
      <c r="D7" s="6" t="n">
        <f aca="false">COUNTIF(O7:V7,10)</f>
        <v>2</v>
      </c>
      <c r="E7" s="7" t="n">
        <f aca="false">C7/(C7+D7)</f>
        <v>0.75</v>
      </c>
      <c r="F7" s="6" t="n">
        <v>10</v>
      </c>
      <c r="G7" s="6" t="n">
        <v>10</v>
      </c>
      <c r="H7" s="6" t="n">
        <v>10</v>
      </c>
      <c r="I7" s="6" t="n">
        <v>10</v>
      </c>
      <c r="J7" s="6" t="n">
        <v>10</v>
      </c>
      <c r="K7" s="6" t="n">
        <v>10</v>
      </c>
      <c r="L7" s="6" t="n">
        <v>7</v>
      </c>
      <c r="M7" s="6" t="n">
        <v>1</v>
      </c>
      <c r="N7" s="6" t="n">
        <v>68</v>
      </c>
      <c r="O7" s="6" t="n">
        <v>3</v>
      </c>
      <c r="P7" s="6" t="n">
        <v>3</v>
      </c>
      <c r="Q7" s="6" t="n">
        <v>3</v>
      </c>
      <c r="R7" s="6" t="n">
        <v>7</v>
      </c>
      <c r="S7" s="6" t="n">
        <v>2</v>
      </c>
      <c r="T7" s="6" t="n">
        <v>1</v>
      </c>
      <c r="U7" s="6" t="n">
        <v>10</v>
      </c>
      <c r="V7" s="6" t="n">
        <v>10</v>
      </c>
      <c r="W7" s="6" t="n">
        <v>39</v>
      </c>
      <c r="X7" s="7" t="n">
        <f aca="false">N7/(N7+W7)</f>
        <v>0.635514018691589</v>
      </c>
    </row>
    <row r="8" customFormat="false" ht="12.8" hidden="false" customHeight="false" outlineLevel="0" collapsed="false">
      <c r="A8" s="1" t="n">
        <v>7</v>
      </c>
      <c r="B8" s="4" t="s">
        <v>8</v>
      </c>
      <c r="C8" s="6" t="n">
        <f aca="false">COUNTIF(F8:M8,10)</f>
        <v>5</v>
      </c>
      <c r="D8" s="6" t="n">
        <f aca="false">COUNTIF(O8:V8,10)</f>
        <v>3</v>
      </c>
      <c r="E8" s="7" t="n">
        <f aca="false">C8/(C8+D8)</f>
        <v>0.625</v>
      </c>
      <c r="F8" s="6" t="n">
        <v>10</v>
      </c>
      <c r="G8" s="6" t="n">
        <v>8</v>
      </c>
      <c r="H8" s="6" t="n">
        <v>10</v>
      </c>
      <c r="I8" s="6" t="n">
        <v>10</v>
      </c>
      <c r="J8" s="6" t="n">
        <v>10</v>
      </c>
      <c r="K8" s="6" t="n">
        <v>7</v>
      </c>
      <c r="L8" s="6" t="n">
        <v>7</v>
      </c>
      <c r="M8" s="6" t="n">
        <v>10</v>
      </c>
      <c r="N8" s="6" t="n">
        <v>72</v>
      </c>
      <c r="O8" s="6" t="n">
        <v>6</v>
      </c>
      <c r="P8" s="6" t="n">
        <v>10</v>
      </c>
      <c r="Q8" s="6" t="n">
        <v>3</v>
      </c>
      <c r="R8" s="6" t="n">
        <v>3</v>
      </c>
      <c r="S8" s="6" t="n">
        <v>3</v>
      </c>
      <c r="T8" s="6" t="n">
        <v>10</v>
      </c>
      <c r="U8" s="6" t="n">
        <v>10</v>
      </c>
      <c r="V8" s="6" t="n">
        <v>1</v>
      </c>
      <c r="W8" s="6" t="n">
        <v>46</v>
      </c>
      <c r="X8" s="7" t="n">
        <f aca="false">N8/(N8+W8)</f>
        <v>0.610169491525424</v>
      </c>
    </row>
    <row r="9" customFormat="false" ht="12.8" hidden="false" customHeight="false" outlineLevel="0" collapsed="false">
      <c r="A9" s="1" t="n">
        <v>8</v>
      </c>
      <c r="B9" s="5" t="s">
        <v>9</v>
      </c>
      <c r="C9" s="6" t="n">
        <f aca="false">COUNTIF(F9:M9,10)</f>
        <v>5</v>
      </c>
      <c r="D9" s="6" t="n">
        <f aca="false">COUNTIF(O9:V9,10)</f>
        <v>2</v>
      </c>
      <c r="E9" s="7" t="n">
        <f aca="false">C9/(C9+D9)</f>
        <v>0.714285714285714</v>
      </c>
      <c r="F9" s="6" t="n">
        <v>10</v>
      </c>
      <c r="G9" s="6" t="n">
        <v>10</v>
      </c>
      <c r="H9" s="6" t="n">
        <v>8</v>
      </c>
      <c r="I9" s="6" t="n">
        <v>10</v>
      </c>
      <c r="J9" s="6" t="n">
        <v>9</v>
      </c>
      <c r="K9" s="6" t="s">
        <v>131</v>
      </c>
      <c r="L9" s="6" t="n">
        <v>10</v>
      </c>
      <c r="M9" s="6" t="n">
        <v>10</v>
      </c>
      <c r="N9" s="6" t="n">
        <v>67</v>
      </c>
      <c r="O9" s="6" t="n">
        <v>8</v>
      </c>
      <c r="P9" s="6" t="n">
        <v>9</v>
      </c>
      <c r="Q9" s="6" t="n">
        <v>10</v>
      </c>
      <c r="R9" s="6" t="n">
        <v>3</v>
      </c>
      <c r="S9" s="6" t="n">
        <v>10</v>
      </c>
      <c r="T9" s="6" t="s">
        <v>131</v>
      </c>
      <c r="U9" s="6" t="n">
        <v>2</v>
      </c>
      <c r="V9" s="6" t="n">
        <v>1</v>
      </c>
      <c r="W9" s="6" t="n">
        <v>43</v>
      </c>
      <c r="X9" s="7" t="n">
        <f aca="false">N9/(N9+W9)</f>
        <v>0.609090909090909</v>
      </c>
    </row>
    <row r="10" customFormat="false" ht="12.8" hidden="false" customHeight="false" outlineLevel="0" collapsed="false">
      <c r="A10" s="1" t="n">
        <v>9</v>
      </c>
      <c r="B10" s="4" t="s">
        <v>10</v>
      </c>
      <c r="C10" s="6" t="n">
        <f aca="false">COUNTIF(F10:M10,10)</f>
        <v>3</v>
      </c>
      <c r="D10" s="6" t="n">
        <f aca="false">COUNTIF(O10:V10,10)</f>
        <v>5</v>
      </c>
      <c r="E10" s="7" t="n">
        <f aca="false">C10/(C10+D10)</f>
        <v>0.375</v>
      </c>
      <c r="F10" s="6" t="n">
        <v>7</v>
      </c>
      <c r="G10" s="6" t="n">
        <v>3</v>
      </c>
      <c r="H10" s="6" t="n">
        <v>5</v>
      </c>
      <c r="I10" s="6" t="n">
        <v>3</v>
      </c>
      <c r="J10" s="6" t="n">
        <v>10</v>
      </c>
      <c r="K10" s="6" t="n">
        <v>10</v>
      </c>
      <c r="L10" s="6" t="n">
        <v>9</v>
      </c>
      <c r="M10" s="6" t="n">
        <v>10</v>
      </c>
      <c r="N10" s="6" t="n">
        <v>57</v>
      </c>
      <c r="O10" s="6" t="n">
        <v>10</v>
      </c>
      <c r="P10" s="6" t="n">
        <v>10</v>
      </c>
      <c r="Q10" s="6" t="n">
        <v>10</v>
      </c>
      <c r="R10" s="6" t="n">
        <v>10</v>
      </c>
      <c r="S10" s="6" t="n">
        <v>7</v>
      </c>
      <c r="T10" s="6" t="n">
        <v>7</v>
      </c>
      <c r="U10" s="6" t="n">
        <v>10</v>
      </c>
      <c r="V10" s="6" t="n">
        <v>8</v>
      </c>
      <c r="W10" s="6" t="n">
        <v>72</v>
      </c>
      <c r="X10" s="7" t="n">
        <f aca="false">N10/(N10+W10)</f>
        <v>0.441860465116279</v>
      </c>
    </row>
    <row r="11" customFormat="false" ht="12.8" hidden="false" customHeight="false" outlineLevel="0" collapsed="false">
      <c r="A11" s="1" t="n">
        <v>10</v>
      </c>
      <c r="B11" s="4" t="s">
        <v>11</v>
      </c>
      <c r="C11" s="6" t="n">
        <f aca="false">COUNTIF(F11:M11,10)</f>
        <v>4</v>
      </c>
      <c r="D11" s="6" t="n">
        <f aca="false">COUNTIF(O11:V11,10)</f>
        <v>4</v>
      </c>
      <c r="E11" s="7" t="n">
        <f aca="false">C11/(C11+D11)</f>
        <v>0.5</v>
      </c>
      <c r="F11" s="6" t="n">
        <v>10</v>
      </c>
      <c r="G11" s="6" t="n">
        <v>9</v>
      </c>
      <c r="H11" s="6" t="n">
        <v>10</v>
      </c>
      <c r="I11" s="6" t="n">
        <v>7</v>
      </c>
      <c r="J11" s="6" t="n">
        <v>10</v>
      </c>
      <c r="K11" s="6" t="n">
        <v>9</v>
      </c>
      <c r="L11" s="6" t="n">
        <v>5</v>
      </c>
      <c r="M11" s="6" t="n">
        <v>10</v>
      </c>
      <c r="N11" s="6" t="n">
        <v>70</v>
      </c>
      <c r="O11" s="6" t="n">
        <v>4</v>
      </c>
      <c r="P11" s="6" t="n">
        <v>10</v>
      </c>
      <c r="Q11" s="6" t="n">
        <v>5</v>
      </c>
      <c r="R11" s="6" t="n">
        <v>10</v>
      </c>
      <c r="S11" s="6" t="n">
        <v>9</v>
      </c>
      <c r="T11" s="6" t="n">
        <v>10</v>
      </c>
      <c r="U11" s="6" t="n">
        <v>10</v>
      </c>
      <c r="V11" s="6" t="n">
        <v>8</v>
      </c>
      <c r="W11" s="6" t="n">
        <v>66</v>
      </c>
      <c r="X11" s="7" t="n">
        <f aca="false">N11/(N11+W11)</f>
        <v>0.514705882352941</v>
      </c>
    </row>
    <row r="12" customFormat="false" ht="12.8" hidden="false" customHeight="false" outlineLevel="0" collapsed="false">
      <c r="A12" s="1" t="n">
        <v>11</v>
      </c>
      <c r="B12" s="4" t="s">
        <v>12</v>
      </c>
      <c r="C12" s="6" t="n">
        <f aca="false">COUNTIF(F12:M12,10)</f>
        <v>3</v>
      </c>
      <c r="D12" s="6" t="n">
        <f aca="false">COUNTIF(O12:V12,10)</f>
        <v>5</v>
      </c>
      <c r="E12" s="7" t="n">
        <f aca="false">C12/(C12+D12)</f>
        <v>0.375</v>
      </c>
      <c r="F12" s="6" t="n">
        <v>3</v>
      </c>
      <c r="G12" s="6" t="n">
        <v>10</v>
      </c>
      <c r="H12" s="6" t="n">
        <v>9</v>
      </c>
      <c r="I12" s="6" t="n">
        <v>6</v>
      </c>
      <c r="J12" s="6" t="n">
        <v>10</v>
      </c>
      <c r="K12" s="6" t="n">
        <v>0</v>
      </c>
      <c r="L12" s="6" t="n">
        <v>10</v>
      </c>
      <c r="M12" s="6" t="n">
        <v>8</v>
      </c>
      <c r="N12" s="6" t="n">
        <v>56</v>
      </c>
      <c r="O12" s="6" t="n">
        <v>10</v>
      </c>
      <c r="P12" s="6" t="n">
        <v>9</v>
      </c>
      <c r="Q12" s="6" t="n">
        <v>10</v>
      </c>
      <c r="R12" s="6" t="n">
        <v>10</v>
      </c>
      <c r="S12" s="6" t="n">
        <v>3</v>
      </c>
      <c r="T12" s="6" t="n">
        <v>10</v>
      </c>
      <c r="U12" s="6" t="n">
        <v>2</v>
      </c>
      <c r="V12" s="6" t="n">
        <v>10</v>
      </c>
      <c r="W12" s="6" t="n">
        <v>64</v>
      </c>
      <c r="X12" s="7" t="n">
        <f aca="false">N12/(N12+W12)</f>
        <v>0.466666666666667</v>
      </c>
    </row>
    <row r="13" customFormat="false" ht="12.8" hidden="false" customHeight="false" outlineLevel="0" collapsed="false">
      <c r="A13" s="1" t="n">
        <v>12</v>
      </c>
      <c r="B13" s="5" t="s">
        <v>13</v>
      </c>
      <c r="C13" s="6" t="n">
        <f aca="false">COUNTIF(F13:M13,10)</f>
        <v>5</v>
      </c>
      <c r="D13" s="6" t="n">
        <f aca="false">COUNTIF(O13:V13,10)</f>
        <v>2</v>
      </c>
      <c r="E13" s="7" t="n">
        <f aca="false">C13/(C13+D13)</f>
        <v>0.714285714285714</v>
      </c>
      <c r="F13" s="6" t="n">
        <v>10</v>
      </c>
      <c r="G13" s="6" t="s">
        <v>131</v>
      </c>
      <c r="H13" s="6" t="n">
        <v>10</v>
      </c>
      <c r="I13" s="6" t="n">
        <v>10</v>
      </c>
      <c r="J13" s="6" t="n">
        <v>10</v>
      </c>
      <c r="K13" s="6" t="n">
        <v>9</v>
      </c>
      <c r="L13" s="6" t="n">
        <v>10</v>
      </c>
      <c r="M13" s="6" t="n">
        <v>8</v>
      </c>
      <c r="N13" s="6" t="n">
        <v>67</v>
      </c>
      <c r="O13" s="6" t="n">
        <v>7</v>
      </c>
      <c r="P13" s="6" t="s">
        <v>131</v>
      </c>
      <c r="Q13" s="6" t="n">
        <v>4</v>
      </c>
      <c r="R13" s="6" t="n">
        <v>3</v>
      </c>
      <c r="S13" s="6" t="n">
        <v>8</v>
      </c>
      <c r="T13" s="6" t="n">
        <v>10</v>
      </c>
      <c r="U13" s="6" t="n">
        <v>7</v>
      </c>
      <c r="V13" s="6" t="n">
        <v>10</v>
      </c>
      <c r="W13" s="6" t="n">
        <v>49</v>
      </c>
      <c r="X13" s="7" t="n">
        <f aca="false">N13/(N13+W13)</f>
        <v>0.577586206896552</v>
      </c>
    </row>
    <row r="14" customFormat="false" ht="12.8" hidden="false" customHeight="false" outlineLevel="0" collapsed="false">
      <c r="A14" s="1" t="n">
        <v>13</v>
      </c>
      <c r="B14" s="4" t="s">
        <v>14</v>
      </c>
      <c r="C14" s="6" t="n">
        <f aca="false">COUNTIF(F14:M14,10)</f>
        <v>4</v>
      </c>
      <c r="D14" s="6" t="n">
        <f aca="false">COUNTIF(O14:V14,10)</f>
        <v>4</v>
      </c>
      <c r="E14" s="7" t="n">
        <f aca="false">C14/(C14+D14)</f>
        <v>0.5</v>
      </c>
      <c r="F14" s="6" t="n">
        <v>6</v>
      </c>
      <c r="G14" s="6" t="n">
        <v>10</v>
      </c>
      <c r="H14" s="6" t="n">
        <v>4</v>
      </c>
      <c r="I14" s="6" t="n">
        <v>10</v>
      </c>
      <c r="J14" s="6" t="n">
        <v>6</v>
      </c>
      <c r="K14" s="6" t="n">
        <v>10</v>
      </c>
      <c r="L14" s="6" t="n">
        <v>2</v>
      </c>
      <c r="M14" s="6" t="n">
        <v>10</v>
      </c>
      <c r="N14" s="6" t="n">
        <v>58</v>
      </c>
      <c r="O14" s="6" t="n">
        <v>10</v>
      </c>
      <c r="P14" s="6" t="n">
        <v>4</v>
      </c>
      <c r="Q14" s="6" t="n">
        <v>10</v>
      </c>
      <c r="R14" s="6" t="n">
        <v>7</v>
      </c>
      <c r="S14" s="6" t="n">
        <v>10</v>
      </c>
      <c r="T14" s="6" t="n">
        <v>9</v>
      </c>
      <c r="U14" s="6" t="n">
        <v>10</v>
      </c>
      <c r="V14" s="6" t="n">
        <v>8</v>
      </c>
      <c r="W14" s="6" t="n">
        <v>68</v>
      </c>
      <c r="X14" s="7" t="n">
        <f aca="false">N14/(N14+W14)</f>
        <v>0.46031746031746</v>
      </c>
    </row>
    <row r="15" customFormat="false" ht="12.8" hidden="false" customHeight="false" outlineLevel="0" collapsed="false">
      <c r="A15" s="1" t="n">
        <v>14</v>
      </c>
      <c r="B15" s="5" t="s">
        <v>15</v>
      </c>
      <c r="C15" s="6" t="n">
        <f aca="false">COUNTIF(F15:M15,10)</f>
        <v>6</v>
      </c>
      <c r="D15" s="6" t="n">
        <f aca="false">COUNTIF(O15:V15,10)</f>
        <v>2</v>
      </c>
      <c r="E15" s="7" t="n">
        <f aca="false">C15/(C15+D15)</f>
        <v>0.75</v>
      </c>
      <c r="F15" s="6" t="n">
        <v>7</v>
      </c>
      <c r="G15" s="6" t="n">
        <v>10</v>
      </c>
      <c r="H15" s="6" t="n">
        <v>10</v>
      </c>
      <c r="I15" s="6" t="n">
        <v>6</v>
      </c>
      <c r="J15" s="6" t="n">
        <v>10</v>
      </c>
      <c r="K15" s="6" t="n">
        <v>10</v>
      </c>
      <c r="L15" s="6" t="n">
        <v>10</v>
      </c>
      <c r="M15" s="6" t="n">
        <v>10</v>
      </c>
      <c r="N15" s="6" t="n">
        <v>73</v>
      </c>
      <c r="O15" s="6" t="n">
        <v>10</v>
      </c>
      <c r="P15" s="6" t="n">
        <v>6</v>
      </c>
      <c r="Q15" s="6" t="n">
        <v>8</v>
      </c>
      <c r="R15" s="6" t="n">
        <v>10</v>
      </c>
      <c r="S15" s="6" t="n">
        <v>7</v>
      </c>
      <c r="T15" s="6" t="n">
        <v>9</v>
      </c>
      <c r="U15" s="6" t="n">
        <v>7</v>
      </c>
      <c r="V15" s="6" t="n">
        <v>8</v>
      </c>
      <c r="W15" s="6" t="n">
        <v>65</v>
      </c>
      <c r="X15" s="7" t="n">
        <f aca="false">N15/(N15+W15)</f>
        <v>0.528985507246377</v>
      </c>
    </row>
    <row r="16" customFormat="false" ht="12.8" hidden="false" customHeight="false" outlineLevel="0" collapsed="false">
      <c r="A16" s="1" t="n">
        <v>15</v>
      </c>
      <c r="B16" s="4" t="s">
        <v>16</v>
      </c>
      <c r="C16" s="6" t="n">
        <f aca="false">COUNTIF(F16:M16,10)</f>
        <v>2</v>
      </c>
      <c r="D16" s="6" t="n">
        <f aca="false">COUNTIF(O16:V16,10)</f>
        <v>6</v>
      </c>
      <c r="E16" s="7" t="n">
        <f aca="false">C16/(C16+D16)</f>
        <v>0.25</v>
      </c>
      <c r="F16" s="6" t="n">
        <v>4</v>
      </c>
      <c r="G16" s="6" t="n">
        <v>10</v>
      </c>
      <c r="H16" s="6" t="n">
        <v>3</v>
      </c>
      <c r="I16" s="6" t="n">
        <v>8</v>
      </c>
      <c r="J16" s="6" t="n">
        <v>8</v>
      </c>
      <c r="K16" s="6" t="n">
        <v>4</v>
      </c>
      <c r="L16" s="6" t="n">
        <v>10</v>
      </c>
      <c r="M16" s="6" t="n">
        <v>8</v>
      </c>
      <c r="N16" s="6" t="n">
        <v>55</v>
      </c>
      <c r="O16" s="6" t="n">
        <v>10</v>
      </c>
      <c r="P16" s="6" t="n">
        <v>9</v>
      </c>
      <c r="Q16" s="6" t="n">
        <v>10</v>
      </c>
      <c r="R16" s="6" t="n">
        <v>10</v>
      </c>
      <c r="S16" s="6" t="n">
        <v>10</v>
      </c>
      <c r="T16" s="6" t="n">
        <v>10</v>
      </c>
      <c r="U16" s="6" t="n">
        <v>7</v>
      </c>
      <c r="V16" s="6" t="n">
        <v>10</v>
      </c>
      <c r="W16" s="6" t="n">
        <v>76</v>
      </c>
      <c r="X16" s="7" t="n">
        <f aca="false">N16/(N16+W16)</f>
        <v>0.419847328244275</v>
      </c>
    </row>
    <row r="17" customFormat="false" ht="12.8" hidden="false" customHeight="false" outlineLevel="0" collapsed="false">
      <c r="A17" s="1" t="n">
        <v>16</v>
      </c>
      <c r="B17" s="4" t="s">
        <v>17</v>
      </c>
      <c r="C17" s="6" t="n">
        <f aca="false">COUNTIF(F17:M17,10)</f>
        <v>4</v>
      </c>
      <c r="D17" s="6" t="n">
        <f aca="false">COUNTIF(O17:V17,10)</f>
        <v>4</v>
      </c>
      <c r="E17" s="7" t="n">
        <f aca="false">C17/(C17+D17)</f>
        <v>0.5</v>
      </c>
      <c r="F17" s="6" t="n">
        <v>4</v>
      </c>
      <c r="G17" s="6" t="n">
        <v>10</v>
      </c>
      <c r="H17" s="6" t="n">
        <v>3</v>
      </c>
      <c r="I17" s="6" t="n">
        <v>5</v>
      </c>
      <c r="J17" s="6" t="n">
        <v>10</v>
      </c>
      <c r="K17" s="6" t="n">
        <v>10</v>
      </c>
      <c r="L17" s="6" t="n">
        <v>10</v>
      </c>
      <c r="M17" s="6" t="n">
        <v>8</v>
      </c>
      <c r="N17" s="6" t="n">
        <v>60</v>
      </c>
      <c r="O17" s="6" t="n">
        <v>10</v>
      </c>
      <c r="P17" s="6" t="n">
        <v>2</v>
      </c>
      <c r="Q17" s="6" t="n">
        <v>10</v>
      </c>
      <c r="R17" s="6" t="n">
        <v>10</v>
      </c>
      <c r="S17" s="6" t="n">
        <v>9</v>
      </c>
      <c r="T17" s="6" t="n">
        <v>7</v>
      </c>
      <c r="U17" s="6" t="n">
        <v>5</v>
      </c>
      <c r="V17" s="6" t="n">
        <v>10</v>
      </c>
      <c r="W17" s="6" t="n">
        <v>63</v>
      </c>
      <c r="X17" s="7" t="n">
        <f aca="false">N17/(N17+W17)</f>
        <v>0.487804878048781</v>
      </c>
    </row>
    <row r="18" customFormat="false" ht="12.8" hidden="false" customHeight="false" outlineLevel="0" collapsed="false">
      <c r="A18" s="1" t="n">
        <v>17</v>
      </c>
      <c r="B18" s="4" t="s">
        <v>18</v>
      </c>
      <c r="C18" s="6" t="n">
        <f aca="false">COUNTIF(F18:M18,10)</f>
        <v>1</v>
      </c>
      <c r="D18" s="6" t="n">
        <f aca="false">COUNTIF(O18:V18,10)</f>
        <v>7</v>
      </c>
      <c r="E18" s="7" t="n">
        <f aca="false">C18/(C18+D18)</f>
        <v>0.125</v>
      </c>
      <c r="F18" s="6" t="n">
        <v>6</v>
      </c>
      <c r="G18" s="6" t="n">
        <v>6</v>
      </c>
      <c r="H18" s="6" t="n">
        <v>10</v>
      </c>
      <c r="I18" s="6" t="n">
        <v>3</v>
      </c>
      <c r="J18" s="6" t="n">
        <v>9</v>
      </c>
      <c r="K18" s="6" t="n">
        <v>0</v>
      </c>
      <c r="L18" s="6" t="n">
        <v>7</v>
      </c>
      <c r="M18" s="6" t="n">
        <v>9</v>
      </c>
      <c r="N18" s="6" t="n">
        <v>50</v>
      </c>
      <c r="O18" s="6" t="n">
        <v>10</v>
      </c>
      <c r="P18" s="6" t="n">
        <v>10</v>
      </c>
      <c r="Q18" s="6" t="n">
        <v>5</v>
      </c>
      <c r="R18" s="6" t="n">
        <v>10</v>
      </c>
      <c r="S18" s="6" t="n">
        <v>10</v>
      </c>
      <c r="T18" s="6" t="n">
        <v>10</v>
      </c>
      <c r="U18" s="6" t="n">
        <v>10</v>
      </c>
      <c r="V18" s="6" t="n">
        <v>10</v>
      </c>
      <c r="W18" s="6" t="n">
        <v>75</v>
      </c>
      <c r="X18" s="7" t="n">
        <f aca="false">N18/(N18+W18)</f>
        <v>0.4</v>
      </c>
    </row>
    <row r="19" customFormat="false" ht="12.8" hidden="false" customHeight="false" outlineLevel="0" collapsed="false">
      <c r="A19" s="1" t="n">
        <v>18</v>
      </c>
      <c r="B19" s="4" t="s">
        <v>19</v>
      </c>
      <c r="C19" s="6" t="n">
        <f aca="false">COUNTIF(F19:M19,10)</f>
        <v>2</v>
      </c>
      <c r="D19" s="6" t="n">
        <f aca="false">COUNTIF(O19:V19,10)</f>
        <v>5</v>
      </c>
      <c r="E19" s="7" t="n">
        <f aca="false">C19/(C19+D19)</f>
        <v>0.285714285714286</v>
      </c>
      <c r="F19" s="6" t="n">
        <v>10</v>
      </c>
      <c r="G19" s="6" t="n">
        <v>2</v>
      </c>
      <c r="H19" s="6" t="n">
        <v>10</v>
      </c>
      <c r="I19" s="6" t="n">
        <v>3</v>
      </c>
      <c r="J19" s="6" t="s">
        <v>131</v>
      </c>
      <c r="K19" s="6" t="n">
        <v>1</v>
      </c>
      <c r="L19" s="6" t="n">
        <v>2</v>
      </c>
      <c r="M19" s="6" t="n">
        <v>9</v>
      </c>
      <c r="N19" s="6" t="n">
        <v>37</v>
      </c>
      <c r="O19" s="6" t="n">
        <v>6</v>
      </c>
      <c r="P19" s="6" t="n">
        <v>10</v>
      </c>
      <c r="Q19" s="6" t="n">
        <v>5</v>
      </c>
      <c r="R19" s="6" t="n">
        <v>10</v>
      </c>
      <c r="S19" s="6" t="s">
        <v>131</v>
      </c>
      <c r="T19" s="6" t="n">
        <v>10</v>
      </c>
      <c r="U19" s="6" t="n">
        <v>10</v>
      </c>
      <c r="V19" s="6" t="n">
        <v>10</v>
      </c>
      <c r="W19" s="6" t="n">
        <v>61</v>
      </c>
      <c r="X19" s="7" t="n">
        <f aca="false">N19/(N19+W19)</f>
        <v>0.377551020408163</v>
      </c>
    </row>
    <row r="20" customFormat="false" ht="12.8" hidden="false" customHeight="false" outlineLevel="0" collapsed="false">
      <c r="A20" s="1" t="n">
        <v>19</v>
      </c>
      <c r="B20" s="5" t="s">
        <v>20</v>
      </c>
      <c r="C20" s="6" t="n">
        <f aca="false">COUNTIF(F20:M20,10)</f>
        <v>4</v>
      </c>
      <c r="D20" s="6" t="n">
        <f aca="false">COUNTIF(O20:V20,10)</f>
        <v>4</v>
      </c>
      <c r="E20" s="7" t="n">
        <f aca="false">C20/(C20+D20)</f>
        <v>0.5</v>
      </c>
      <c r="F20" s="6" t="n">
        <v>10</v>
      </c>
      <c r="G20" s="6" t="n">
        <v>1</v>
      </c>
      <c r="H20" s="6" t="n">
        <v>4</v>
      </c>
      <c r="I20" s="6" t="n">
        <v>7</v>
      </c>
      <c r="J20" s="6" t="n">
        <v>10</v>
      </c>
      <c r="K20" s="6" t="n">
        <v>7</v>
      </c>
      <c r="L20" s="6" t="n">
        <v>10</v>
      </c>
      <c r="M20" s="6" t="n">
        <v>10</v>
      </c>
      <c r="N20" s="6" t="n">
        <v>59</v>
      </c>
      <c r="O20" s="6" t="n">
        <v>8</v>
      </c>
      <c r="P20" s="6" t="n">
        <v>10</v>
      </c>
      <c r="Q20" s="6" t="n">
        <v>10</v>
      </c>
      <c r="R20" s="6" t="n">
        <v>10</v>
      </c>
      <c r="S20" s="6" t="n">
        <v>8</v>
      </c>
      <c r="T20" s="6" t="n">
        <v>10</v>
      </c>
      <c r="U20" s="6" t="n">
        <v>4</v>
      </c>
      <c r="V20" s="6" t="n">
        <v>9</v>
      </c>
      <c r="W20" s="6" t="n">
        <v>69</v>
      </c>
      <c r="X20" s="7" t="n">
        <f aca="false">N20/(N20+W20)</f>
        <v>0.4609375</v>
      </c>
    </row>
    <row r="21" customFormat="false" ht="12.8" hidden="false" customHeight="false" outlineLevel="0" collapsed="false">
      <c r="A21" s="1" t="n">
        <v>20</v>
      </c>
      <c r="B21" s="4" t="s">
        <v>21</v>
      </c>
      <c r="C21" s="6" t="n">
        <f aca="false">COUNTIF(F21:M21,10)</f>
        <v>5</v>
      </c>
      <c r="D21" s="6" t="n">
        <f aca="false">COUNTIF(O21:V21,10)</f>
        <v>3</v>
      </c>
      <c r="E21" s="7" t="n">
        <f aca="false">C21/(C21+D21)</f>
        <v>0.625</v>
      </c>
      <c r="F21" s="6" t="n">
        <v>10</v>
      </c>
      <c r="G21" s="6" t="n">
        <v>8</v>
      </c>
      <c r="H21" s="6" t="n">
        <v>9</v>
      </c>
      <c r="I21" s="6" t="n">
        <v>10</v>
      </c>
      <c r="J21" s="6" t="n">
        <v>10</v>
      </c>
      <c r="K21" s="6" t="n">
        <v>9</v>
      </c>
      <c r="L21" s="6" t="n">
        <v>10</v>
      </c>
      <c r="M21" s="6" t="n">
        <v>10</v>
      </c>
      <c r="N21" s="6" t="n">
        <v>76</v>
      </c>
      <c r="O21" s="6" t="n">
        <v>4</v>
      </c>
      <c r="P21" s="6" t="n">
        <v>10</v>
      </c>
      <c r="Q21" s="6" t="n">
        <v>10</v>
      </c>
      <c r="R21" s="6" t="n">
        <v>8</v>
      </c>
      <c r="S21" s="6" t="n">
        <v>6</v>
      </c>
      <c r="T21" s="6" t="n">
        <v>10</v>
      </c>
      <c r="U21" s="6" t="n">
        <v>9</v>
      </c>
      <c r="V21" s="6" t="n">
        <v>9</v>
      </c>
      <c r="W21" s="6" t="n">
        <v>66</v>
      </c>
      <c r="X21" s="7" t="n">
        <f aca="false">N21/(N21+W21)</f>
        <v>0.535211267605634</v>
      </c>
    </row>
    <row r="22" customFormat="false" ht="12.8" hidden="false" customHeight="false" outlineLevel="0" collapsed="false">
      <c r="A22" s="1" t="n">
        <v>21</v>
      </c>
      <c r="B22" s="5" t="s">
        <v>22</v>
      </c>
      <c r="C22" s="6" t="n">
        <f aca="false">COUNTIF(F22:M22,10)</f>
        <v>4</v>
      </c>
      <c r="D22" s="6" t="n">
        <f aca="false">COUNTIF(O22:V22,10)</f>
        <v>3</v>
      </c>
      <c r="E22" s="7" t="n">
        <f aca="false">C22/(C22+D22)</f>
        <v>0.571428571428571</v>
      </c>
      <c r="F22" s="6" t="n">
        <v>10</v>
      </c>
      <c r="G22" s="6" t="n">
        <v>1</v>
      </c>
      <c r="H22" s="6" t="n">
        <v>10</v>
      </c>
      <c r="I22" s="6" t="s">
        <v>131</v>
      </c>
      <c r="J22" s="6" t="n">
        <v>3</v>
      </c>
      <c r="K22" s="6" t="n">
        <v>10</v>
      </c>
      <c r="L22" s="6" t="n">
        <v>5</v>
      </c>
      <c r="M22" s="6" t="n">
        <v>10</v>
      </c>
      <c r="N22" s="6" t="n">
        <v>49</v>
      </c>
      <c r="O22" s="6" t="n">
        <v>6</v>
      </c>
      <c r="P22" s="6" t="n">
        <v>10</v>
      </c>
      <c r="Q22" s="6" t="n">
        <v>8</v>
      </c>
      <c r="R22" s="6" t="s">
        <v>131</v>
      </c>
      <c r="S22" s="6" t="n">
        <v>10</v>
      </c>
      <c r="T22" s="6" t="n">
        <v>1</v>
      </c>
      <c r="U22" s="6" t="n">
        <v>10</v>
      </c>
      <c r="V22" s="6" t="n">
        <v>2</v>
      </c>
      <c r="W22" s="6" t="n">
        <v>47</v>
      </c>
      <c r="X22" s="7" t="n">
        <f aca="false">N22/(N22+W22)</f>
        <v>0.510416666666667</v>
      </c>
    </row>
    <row r="23" customFormat="false" ht="12.8" hidden="false" customHeight="false" outlineLevel="0" collapsed="false">
      <c r="A23" s="1" t="n">
        <v>22</v>
      </c>
      <c r="B23" s="4" t="s">
        <v>23</v>
      </c>
      <c r="C23" s="6" t="n">
        <f aca="false">COUNTIF(F23:M23,10)</f>
        <v>6</v>
      </c>
      <c r="D23" s="6" t="n">
        <f aca="false">COUNTIF(O23:V23,10)</f>
        <v>2</v>
      </c>
      <c r="E23" s="7" t="n">
        <f aca="false">C23/(C23+D23)</f>
        <v>0.75</v>
      </c>
      <c r="F23" s="6" t="n">
        <v>10</v>
      </c>
      <c r="G23" s="6" t="n">
        <v>10</v>
      </c>
      <c r="H23" s="6" t="n">
        <v>10</v>
      </c>
      <c r="I23" s="6" t="n">
        <v>10</v>
      </c>
      <c r="J23" s="6" t="n">
        <v>7</v>
      </c>
      <c r="K23" s="6" t="n">
        <v>9</v>
      </c>
      <c r="L23" s="6" t="n">
        <v>10</v>
      </c>
      <c r="M23" s="6" t="n">
        <v>10</v>
      </c>
      <c r="N23" s="6" t="n">
        <v>76</v>
      </c>
      <c r="O23" s="6" t="n">
        <v>4</v>
      </c>
      <c r="P23" s="6" t="n">
        <v>9</v>
      </c>
      <c r="Q23" s="6" t="n">
        <v>3</v>
      </c>
      <c r="R23" s="6" t="n">
        <v>4</v>
      </c>
      <c r="S23" s="6" t="n">
        <v>10</v>
      </c>
      <c r="T23" s="6" t="n">
        <v>10</v>
      </c>
      <c r="U23" s="6" t="n">
        <v>5</v>
      </c>
      <c r="V23" s="6" t="n">
        <v>2</v>
      </c>
      <c r="W23" s="6" t="n">
        <v>47</v>
      </c>
      <c r="X23" s="7" t="n">
        <f aca="false">N23/(N23+W23)</f>
        <v>0.617886178861789</v>
      </c>
    </row>
    <row r="24" customFormat="false" ht="12.8" hidden="false" customHeight="false" outlineLevel="0" collapsed="false">
      <c r="A24" s="1" t="n">
        <v>23</v>
      </c>
      <c r="B24" s="4" t="s">
        <v>24</v>
      </c>
      <c r="C24" s="6" t="n">
        <f aca="false">COUNTIF(F24:M24,10)</f>
        <v>3</v>
      </c>
      <c r="D24" s="6" t="n">
        <f aca="false">COUNTIF(O24:V24,10)</f>
        <v>5</v>
      </c>
      <c r="E24" s="7" t="n">
        <f aca="false">C24/(C24+D24)</f>
        <v>0.375</v>
      </c>
      <c r="F24" s="6" t="n">
        <v>8</v>
      </c>
      <c r="G24" s="6" t="n">
        <v>4</v>
      </c>
      <c r="H24" s="6" t="n">
        <v>10</v>
      </c>
      <c r="I24" s="6" t="n">
        <v>10</v>
      </c>
      <c r="J24" s="6" t="n">
        <v>8</v>
      </c>
      <c r="K24" s="6" t="n">
        <v>10</v>
      </c>
      <c r="L24" s="6" t="n">
        <v>9</v>
      </c>
      <c r="M24" s="6" t="n">
        <v>2</v>
      </c>
      <c r="N24" s="6" t="n">
        <v>61</v>
      </c>
      <c r="O24" s="6" t="n">
        <v>10</v>
      </c>
      <c r="P24" s="6" t="n">
        <v>10</v>
      </c>
      <c r="Q24" s="6" t="n">
        <v>3</v>
      </c>
      <c r="R24" s="6" t="n">
        <v>6</v>
      </c>
      <c r="S24" s="6" t="n">
        <v>10</v>
      </c>
      <c r="T24" s="6" t="n">
        <v>8</v>
      </c>
      <c r="U24" s="6" t="n">
        <v>10</v>
      </c>
      <c r="V24" s="6" t="n">
        <v>10</v>
      </c>
      <c r="W24" s="6" t="n">
        <v>67</v>
      </c>
      <c r="X24" s="7" t="n">
        <f aca="false">N24/(N24+W24)</f>
        <v>0.4765625</v>
      </c>
    </row>
    <row r="25" customFormat="false" ht="12.8" hidden="false" customHeight="false" outlineLevel="0" collapsed="false">
      <c r="A25" s="1" t="n">
        <v>24</v>
      </c>
      <c r="B25" s="4" t="s">
        <v>25</v>
      </c>
      <c r="C25" s="6" t="n">
        <f aca="false">COUNTIF(F25:M25,10)</f>
        <v>4</v>
      </c>
      <c r="D25" s="6" t="n">
        <f aca="false">COUNTIF(O25:V25,10)</f>
        <v>4</v>
      </c>
      <c r="E25" s="7" t="n">
        <f aca="false">C25/(C25+D25)</f>
        <v>0.5</v>
      </c>
      <c r="F25" s="6" t="n">
        <v>6</v>
      </c>
      <c r="G25" s="6" t="n">
        <v>10</v>
      </c>
      <c r="H25" s="6" t="n">
        <v>10</v>
      </c>
      <c r="I25" s="6" t="n">
        <v>10</v>
      </c>
      <c r="J25" s="6" t="n">
        <v>9</v>
      </c>
      <c r="K25" s="6" t="n">
        <v>10</v>
      </c>
      <c r="L25" s="6" t="n">
        <v>1</v>
      </c>
      <c r="M25" s="6" t="n">
        <v>2</v>
      </c>
      <c r="N25" s="6" t="n">
        <v>58</v>
      </c>
      <c r="O25" s="6" t="n">
        <v>10</v>
      </c>
      <c r="P25" s="6" t="n">
        <v>3</v>
      </c>
      <c r="Q25" s="6" t="n">
        <v>4</v>
      </c>
      <c r="R25" s="6" t="n">
        <v>8</v>
      </c>
      <c r="S25" s="6" t="n">
        <v>10</v>
      </c>
      <c r="T25" s="6" t="n">
        <v>0</v>
      </c>
      <c r="U25" s="6" t="n">
        <v>10</v>
      </c>
      <c r="V25" s="6" t="n">
        <v>10</v>
      </c>
      <c r="W25" s="6" t="n">
        <v>55</v>
      </c>
      <c r="X25" s="7" t="n">
        <f aca="false">N25/(N25+W25)</f>
        <v>0.513274336283186</v>
      </c>
    </row>
    <row r="26" customFormat="false" ht="12.8" hidden="false" customHeight="false" outlineLevel="0" collapsed="false">
      <c r="A26" s="1" t="n">
        <v>25</v>
      </c>
      <c r="B26" s="4" t="s">
        <v>26</v>
      </c>
      <c r="C26" s="6" t="n">
        <f aca="false">COUNTIF(F26:M26,10)</f>
        <v>2</v>
      </c>
      <c r="D26" s="6" t="n">
        <f aca="false">COUNTIF(O26:V26,10)</f>
        <v>6</v>
      </c>
      <c r="E26" s="7" t="n">
        <f aca="false">C26/(C26+D26)</f>
        <v>0.25</v>
      </c>
      <c r="F26" s="6" t="n">
        <v>10</v>
      </c>
      <c r="G26" s="6" t="n">
        <v>9</v>
      </c>
      <c r="H26" s="6" t="n">
        <v>10</v>
      </c>
      <c r="I26" s="9" t="n">
        <v>8</v>
      </c>
      <c r="J26" s="6" t="n">
        <v>2</v>
      </c>
      <c r="K26" s="6" t="n">
        <v>8</v>
      </c>
      <c r="L26" s="6" t="n">
        <v>7</v>
      </c>
      <c r="M26" s="6" t="n">
        <v>8</v>
      </c>
      <c r="N26" s="9" t="n">
        <v>62</v>
      </c>
      <c r="O26" s="6" t="n">
        <v>6</v>
      </c>
      <c r="P26" s="6" t="n">
        <v>10</v>
      </c>
      <c r="Q26" s="6" t="n">
        <v>4</v>
      </c>
      <c r="R26" s="6" t="n">
        <v>10</v>
      </c>
      <c r="S26" s="6" t="n">
        <v>10</v>
      </c>
      <c r="T26" s="6" t="n">
        <v>10</v>
      </c>
      <c r="U26" s="6" t="n">
        <v>10</v>
      </c>
      <c r="V26" s="6" t="n">
        <v>10</v>
      </c>
      <c r="W26" s="6" t="n">
        <v>70</v>
      </c>
      <c r="X26" s="7" t="n">
        <f aca="false">N26/(N26+W26)</f>
        <v>0.46969696969697</v>
      </c>
    </row>
    <row r="27" customFormat="false" ht="12.8" hidden="false" customHeight="false" outlineLevel="0" collapsed="false">
      <c r="A27" s="1" t="n">
        <v>26</v>
      </c>
      <c r="B27" s="5" t="s">
        <v>27</v>
      </c>
      <c r="C27" s="6" t="n">
        <f aca="false">COUNTIF(F27:M27,10)</f>
        <v>2</v>
      </c>
      <c r="D27" s="6" t="n">
        <f aca="false">COUNTIF(O27:V27,10)</f>
        <v>6</v>
      </c>
      <c r="E27" s="7" t="n">
        <f aca="false">C27/(C27+D27)</f>
        <v>0.25</v>
      </c>
      <c r="F27" s="6" t="n">
        <v>7</v>
      </c>
      <c r="G27" s="6" t="n">
        <v>3</v>
      </c>
      <c r="H27" s="6" t="n">
        <v>10</v>
      </c>
      <c r="I27" s="6" t="n">
        <v>4</v>
      </c>
      <c r="J27" s="6" t="n">
        <v>10</v>
      </c>
      <c r="K27" s="6" t="n">
        <v>1</v>
      </c>
      <c r="L27" s="6" t="n">
        <v>4</v>
      </c>
      <c r="M27" s="6" t="n">
        <v>8</v>
      </c>
      <c r="N27" s="6" t="n">
        <v>47</v>
      </c>
      <c r="O27" s="6" t="n">
        <v>10</v>
      </c>
      <c r="P27" s="6" t="n">
        <v>10</v>
      </c>
      <c r="Q27" s="6" t="n">
        <v>9</v>
      </c>
      <c r="R27" s="6" t="n">
        <v>10</v>
      </c>
      <c r="S27" s="6" t="n">
        <v>9</v>
      </c>
      <c r="T27" s="6" t="n">
        <v>10</v>
      </c>
      <c r="U27" s="6" t="n">
        <v>10</v>
      </c>
      <c r="V27" s="6" t="n">
        <v>10</v>
      </c>
      <c r="W27" s="6" t="n">
        <v>78</v>
      </c>
      <c r="X27" s="7" t="n">
        <f aca="false">N27/(N27+W27)</f>
        <v>0.376</v>
      </c>
    </row>
    <row r="28" customFormat="false" ht="12.8" hidden="false" customHeight="false" outlineLevel="0" collapsed="false">
      <c r="A28" s="1" t="n">
        <v>27</v>
      </c>
      <c r="B28" s="4" t="s">
        <v>28</v>
      </c>
      <c r="C28" s="6" t="n">
        <f aca="false">COUNTIF(F28:M28,10)</f>
        <v>5</v>
      </c>
      <c r="D28" s="6" t="n">
        <f aca="false">COUNTIF(O28:V28,10)</f>
        <v>3</v>
      </c>
      <c r="E28" s="7" t="n">
        <f aca="false">C28/(C28+D28)</f>
        <v>0.625</v>
      </c>
      <c r="F28" s="6" t="n">
        <v>4</v>
      </c>
      <c r="G28" s="6" t="n">
        <v>10</v>
      </c>
      <c r="H28" s="6" t="n">
        <v>5</v>
      </c>
      <c r="I28" s="6" t="n">
        <v>3</v>
      </c>
      <c r="J28" s="6" t="n">
        <v>10</v>
      </c>
      <c r="K28" s="6" t="n">
        <v>10</v>
      </c>
      <c r="L28" s="6" t="n">
        <v>10</v>
      </c>
      <c r="M28" s="6" t="n">
        <v>10</v>
      </c>
      <c r="N28" s="6" t="n">
        <v>62</v>
      </c>
      <c r="O28" s="6" t="n">
        <v>10</v>
      </c>
      <c r="P28" s="6" t="n">
        <v>1</v>
      </c>
      <c r="Q28" s="6" t="n">
        <v>10</v>
      </c>
      <c r="R28" s="6" t="n">
        <v>10</v>
      </c>
      <c r="S28" s="6" t="n">
        <v>8</v>
      </c>
      <c r="T28" s="6" t="n">
        <v>4</v>
      </c>
      <c r="U28" s="6" t="n">
        <v>1</v>
      </c>
      <c r="V28" s="6" t="n">
        <v>8</v>
      </c>
      <c r="W28" s="6" t="n">
        <v>52</v>
      </c>
      <c r="X28" s="7" t="n">
        <f aca="false">N28/(N28+W28)</f>
        <v>0.543859649122807</v>
      </c>
    </row>
    <row r="29" customFormat="false" ht="12.8" hidden="false" customHeight="false" outlineLevel="0" collapsed="false">
      <c r="A29" s="1" t="n">
        <v>28</v>
      </c>
      <c r="B29" s="5" t="s">
        <v>29</v>
      </c>
      <c r="C29" s="6" t="n">
        <f aca="false">COUNTIF(F29:M29,10)</f>
        <v>5</v>
      </c>
      <c r="D29" s="6" t="n">
        <f aca="false">COUNTIF(O29:V29,10)</f>
        <v>3</v>
      </c>
      <c r="E29" s="7" t="n">
        <f aca="false">C29/(C29+D29)</f>
        <v>0.625</v>
      </c>
      <c r="F29" s="6" t="n">
        <v>10</v>
      </c>
      <c r="G29" s="6" t="n">
        <v>10</v>
      </c>
      <c r="H29" s="6" t="n">
        <v>10</v>
      </c>
      <c r="I29" s="6" t="n">
        <v>5</v>
      </c>
      <c r="J29" s="6" t="n">
        <v>3</v>
      </c>
      <c r="K29" s="6" t="n">
        <v>10</v>
      </c>
      <c r="L29" s="6" t="n">
        <v>5</v>
      </c>
      <c r="M29" s="6" t="n">
        <v>10</v>
      </c>
      <c r="N29" s="6" t="n">
        <v>63</v>
      </c>
      <c r="O29" s="6" t="n">
        <v>4</v>
      </c>
      <c r="P29" s="6" t="n">
        <v>4</v>
      </c>
      <c r="Q29" s="6" t="n">
        <v>5</v>
      </c>
      <c r="R29" s="6" t="n">
        <v>10</v>
      </c>
      <c r="S29" s="6" t="n">
        <v>10</v>
      </c>
      <c r="T29" s="6" t="n">
        <v>1</v>
      </c>
      <c r="U29" s="6" t="n">
        <v>10</v>
      </c>
      <c r="V29" s="6" t="n">
        <v>8</v>
      </c>
      <c r="W29" s="6" t="n">
        <v>52</v>
      </c>
      <c r="X29" s="7" t="n">
        <f aca="false">N29/(N29+W29)</f>
        <v>0.547826086956522</v>
      </c>
    </row>
    <row r="30" customFormat="false" ht="12.8" hidden="false" customHeight="false" outlineLevel="0" collapsed="false">
      <c r="A30" s="1" t="n">
        <v>29</v>
      </c>
      <c r="B30" s="5" t="s">
        <v>30</v>
      </c>
      <c r="C30" s="6" t="n">
        <f aca="false">COUNTIF(F30:M30,10)</f>
        <v>4</v>
      </c>
      <c r="D30" s="6" t="n">
        <f aca="false">COUNTIF(O30:V30,10)</f>
        <v>4</v>
      </c>
      <c r="E30" s="7" t="n">
        <f aca="false">C30/(C30+D30)</f>
        <v>0.5</v>
      </c>
      <c r="F30" s="6" t="n">
        <v>7</v>
      </c>
      <c r="G30" s="6" t="n">
        <v>10</v>
      </c>
      <c r="H30" s="6" t="n">
        <v>8</v>
      </c>
      <c r="I30" s="6" t="n">
        <v>10</v>
      </c>
      <c r="J30" s="6" t="n">
        <v>8</v>
      </c>
      <c r="K30" s="6" t="n">
        <v>1</v>
      </c>
      <c r="L30" s="6" t="n">
        <v>10</v>
      </c>
      <c r="M30" s="6" t="n">
        <v>10</v>
      </c>
      <c r="N30" s="6" t="n">
        <v>64</v>
      </c>
      <c r="O30" s="6" t="n">
        <v>10</v>
      </c>
      <c r="P30" s="6" t="n">
        <v>8</v>
      </c>
      <c r="Q30" s="6" t="n">
        <v>10</v>
      </c>
      <c r="R30" s="6" t="n">
        <v>4</v>
      </c>
      <c r="S30" s="6" t="n">
        <v>10</v>
      </c>
      <c r="T30" s="6" t="n">
        <v>10</v>
      </c>
      <c r="U30" s="6" t="n">
        <v>1</v>
      </c>
      <c r="V30" s="6" t="n">
        <v>5</v>
      </c>
      <c r="W30" s="6" t="n">
        <v>58</v>
      </c>
      <c r="X30" s="7" t="n">
        <f aca="false">N30/(N30+W30)</f>
        <v>0.524590163934426</v>
      </c>
    </row>
    <row r="31" customFormat="false" ht="12.8" hidden="false" customHeight="false" outlineLevel="0" collapsed="false">
      <c r="A31" s="1" t="n">
        <v>30</v>
      </c>
      <c r="B31" s="4" t="s">
        <v>31</v>
      </c>
      <c r="C31" s="6" t="n">
        <f aca="false">COUNTIF(F31:M31,10)</f>
        <v>4</v>
      </c>
      <c r="D31" s="6" t="n">
        <f aca="false">COUNTIF(O31:V31,10)</f>
        <v>4</v>
      </c>
      <c r="E31" s="7" t="n">
        <f aca="false">C31/(C31+D31)</f>
        <v>0.5</v>
      </c>
      <c r="F31" s="6" t="n">
        <v>4</v>
      </c>
      <c r="G31" s="6" t="n">
        <v>2</v>
      </c>
      <c r="H31" s="6" t="n">
        <v>4</v>
      </c>
      <c r="I31" s="6" t="n">
        <v>10</v>
      </c>
      <c r="J31" s="6" t="n">
        <v>2</v>
      </c>
      <c r="K31" s="6" t="n">
        <v>10</v>
      </c>
      <c r="L31" s="6" t="n">
        <v>10</v>
      </c>
      <c r="M31" s="6" t="n">
        <v>10</v>
      </c>
      <c r="N31" s="6" t="n">
        <v>52</v>
      </c>
      <c r="O31" s="6" t="n">
        <v>10</v>
      </c>
      <c r="P31" s="6" t="n">
        <v>10</v>
      </c>
      <c r="Q31" s="6" t="n">
        <v>10</v>
      </c>
      <c r="R31" s="6" t="n">
        <v>3</v>
      </c>
      <c r="S31" s="6" t="n">
        <v>10</v>
      </c>
      <c r="T31" s="6" t="n">
        <v>1</v>
      </c>
      <c r="U31" s="6" t="n">
        <v>9</v>
      </c>
      <c r="V31" s="6" t="n">
        <v>5</v>
      </c>
      <c r="W31" s="6" t="n">
        <v>58</v>
      </c>
      <c r="X31" s="7" t="n">
        <f aca="false">N31/(N31+W31)</f>
        <v>0.472727272727273</v>
      </c>
    </row>
    <row r="32" customFormat="false" ht="12.8" hidden="false" customHeight="false" outlineLevel="0" collapsed="false">
      <c r="A32" s="1" t="n">
        <v>31</v>
      </c>
      <c r="B32" s="4" t="s">
        <v>32</v>
      </c>
      <c r="C32" s="6" t="n">
        <f aca="false">COUNTIF(F32:M32,10)</f>
        <v>6</v>
      </c>
      <c r="D32" s="6" t="n">
        <f aca="false">COUNTIF(O32:V32,10)</f>
        <v>2</v>
      </c>
      <c r="E32" s="7" t="n">
        <f aca="false">C32/(C32+D32)</f>
        <v>0.75</v>
      </c>
      <c r="F32" s="6" t="n">
        <v>10</v>
      </c>
      <c r="G32" s="6" t="n">
        <v>10</v>
      </c>
      <c r="H32" s="6" t="n">
        <v>3</v>
      </c>
      <c r="I32" s="6" t="n">
        <v>10</v>
      </c>
      <c r="J32" s="6" t="n">
        <v>10</v>
      </c>
      <c r="K32" s="6" t="n">
        <v>10</v>
      </c>
      <c r="L32" s="6" t="n">
        <v>10</v>
      </c>
      <c r="M32" s="6" t="n">
        <v>5</v>
      </c>
      <c r="N32" s="6" t="n">
        <v>68</v>
      </c>
      <c r="O32" s="6" t="n">
        <v>7</v>
      </c>
      <c r="P32" s="6" t="n">
        <v>1</v>
      </c>
      <c r="Q32" s="6" t="n">
        <v>10</v>
      </c>
      <c r="R32" s="6" t="n">
        <v>3</v>
      </c>
      <c r="S32" s="6" t="n">
        <v>6</v>
      </c>
      <c r="T32" s="6" t="n">
        <v>0</v>
      </c>
      <c r="U32" s="9" t="n">
        <v>5</v>
      </c>
      <c r="V32" s="6" t="n">
        <v>10</v>
      </c>
      <c r="W32" s="9" t="n">
        <v>42</v>
      </c>
      <c r="X32" s="7" t="n">
        <f aca="false">N32/(N32+W32)</f>
        <v>0.618181818181818</v>
      </c>
    </row>
    <row r="33" customFormat="false" ht="12.8" hidden="false" customHeight="false" outlineLevel="0" collapsed="false">
      <c r="A33" s="1" t="n">
        <v>32</v>
      </c>
      <c r="B33" s="4" t="s">
        <v>33</v>
      </c>
      <c r="C33" s="6" t="n">
        <f aca="false">COUNTIF(F33:M33,10)</f>
        <v>3</v>
      </c>
      <c r="D33" s="6" t="n">
        <f aca="false">COUNTIF(O33:V33,10)</f>
        <v>5</v>
      </c>
      <c r="E33" s="7" t="n">
        <f aca="false">C33/(C33+D33)</f>
        <v>0.375</v>
      </c>
      <c r="F33" s="6" t="n">
        <v>3</v>
      </c>
      <c r="G33" s="6" t="n">
        <v>6</v>
      </c>
      <c r="H33" s="6" t="n">
        <v>3</v>
      </c>
      <c r="I33" s="6" t="n">
        <v>10</v>
      </c>
      <c r="J33" s="6" t="n">
        <v>10</v>
      </c>
      <c r="K33" s="6" t="n">
        <v>8</v>
      </c>
      <c r="L33" s="6" t="n">
        <v>10</v>
      </c>
      <c r="M33" s="6" t="n">
        <v>5</v>
      </c>
      <c r="N33" s="6" t="n">
        <v>55</v>
      </c>
      <c r="O33" s="6" t="n">
        <v>10</v>
      </c>
      <c r="P33" s="6" t="n">
        <v>10</v>
      </c>
      <c r="Q33" s="6" t="n">
        <v>10</v>
      </c>
      <c r="R33" s="6" t="n">
        <v>3</v>
      </c>
      <c r="S33" s="6" t="n">
        <v>9</v>
      </c>
      <c r="T33" s="6" t="n">
        <v>10</v>
      </c>
      <c r="U33" s="6" t="n">
        <v>4</v>
      </c>
      <c r="V33" s="6" t="n">
        <v>10</v>
      </c>
      <c r="W33" s="6" t="n">
        <v>66</v>
      </c>
      <c r="X33" s="7" t="n">
        <f aca="false">N33/(N33+W33)</f>
        <v>0.454545454545455</v>
      </c>
    </row>
    <row r="34" customFormat="false" ht="12.8" hidden="false" customHeight="false" outlineLevel="0" collapsed="false">
      <c r="A34" s="1" t="n">
        <v>33</v>
      </c>
      <c r="B34" s="4" t="s">
        <v>34</v>
      </c>
      <c r="C34" s="6" t="n">
        <f aca="false">COUNTIF(F34:M34,10)</f>
        <v>3</v>
      </c>
      <c r="D34" s="6" t="n">
        <f aca="false">COUNTIF(O34:V34,10)</f>
        <v>5</v>
      </c>
      <c r="E34" s="7" t="n">
        <f aca="false">C34/(C34+D34)</f>
        <v>0.375</v>
      </c>
      <c r="F34" s="6" t="n">
        <v>8</v>
      </c>
      <c r="G34" s="6" t="n">
        <v>10</v>
      </c>
      <c r="H34" s="6" t="n">
        <v>10</v>
      </c>
      <c r="I34" s="6" t="n">
        <v>3</v>
      </c>
      <c r="J34" s="6" t="n">
        <v>7</v>
      </c>
      <c r="K34" s="6" t="n">
        <v>4</v>
      </c>
      <c r="L34" s="6" t="n">
        <v>10</v>
      </c>
      <c r="M34" s="6" t="n">
        <v>9</v>
      </c>
      <c r="N34" s="6" t="n">
        <v>61</v>
      </c>
      <c r="O34" s="6" t="n">
        <v>10</v>
      </c>
      <c r="P34" s="6" t="n">
        <v>8</v>
      </c>
      <c r="Q34" s="6" t="n">
        <v>4</v>
      </c>
      <c r="R34" s="6" t="n">
        <v>10</v>
      </c>
      <c r="S34" s="6" t="n">
        <v>10</v>
      </c>
      <c r="T34" s="6" t="n">
        <v>10</v>
      </c>
      <c r="U34" s="6" t="n">
        <v>5</v>
      </c>
      <c r="V34" s="6" t="n">
        <v>10</v>
      </c>
      <c r="W34" s="6" t="n">
        <v>67</v>
      </c>
      <c r="X34" s="7" t="n">
        <f aca="false">N34/(N34+W34)</f>
        <v>0.4765625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4" width="11.65"/>
    <col collapsed="false" customWidth="true" hidden="false" outlineLevel="0" max="3" min="3" style="7" width="8.37"/>
    <col collapsed="false" customWidth="true" hidden="false" outlineLevel="0" max="4" min="4" style="7" width="7.88"/>
    <col collapsed="false" customWidth="true" hidden="false" outlineLevel="0" max="6" min="6" style="5" width="8.37"/>
    <col collapsed="false" customWidth="true" hidden="false" outlineLevel="0" max="7" min="7" style="5" width="7.88"/>
  </cols>
  <sheetData>
    <row r="1" customFormat="false" ht="12.8" hidden="false" customHeight="false" outlineLevel="0" collapsed="false">
      <c r="A1" s="2" t="s">
        <v>132</v>
      </c>
      <c r="B1" s="3" t="s">
        <v>1</v>
      </c>
      <c r="C1" s="8" t="s">
        <v>111</v>
      </c>
      <c r="D1" s="8" t="s">
        <v>130</v>
      </c>
    </row>
    <row r="2" customFormat="false" ht="12.8" hidden="false" customHeight="false" outlineLevel="0" collapsed="false">
      <c r="A2" s="1" t="n">
        <v>1</v>
      </c>
      <c r="B2" s="5" t="s">
        <v>7</v>
      </c>
      <c r="C2" s="7" t="n">
        <v>0.75</v>
      </c>
      <c r="D2" s="7" t="n">
        <v>0.636</v>
      </c>
    </row>
    <row r="3" customFormat="false" ht="12.8" hidden="false" customHeight="false" outlineLevel="0" collapsed="false">
      <c r="A3" s="1" t="n">
        <v>2</v>
      </c>
      <c r="B3" s="4" t="s">
        <v>23</v>
      </c>
      <c r="C3" s="7" t="n">
        <v>0.75</v>
      </c>
      <c r="D3" s="7" t="n">
        <v>0.618</v>
      </c>
    </row>
    <row r="4" customFormat="false" ht="12.8" hidden="false" customHeight="false" outlineLevel="0" collapsed="false">
      <c r="A4" s="1" t="n">
        <v>3</v>
      </c>
      <c r="B4" s="4" t="s">
        <v>32</v>
      </c>
      <c r="C4" s="7" t="n">
        <v>0.75</v>
      </c>
      <c r="D4" s="7" t="n">
        <v>0.591</v>
      </c>
    </row>
    <row r="5" customFormat="false" ht="12.8" hidden="false" customHeight="false" outlineLevel="0" collapsed="false">
      <c r="A5" s="1" t="n">
        <v>4</v>
      </c>
      <c r="B5" s="5" t="s">
        <v>15</v>
      </c>
      <c r="C5" s="7" t="n">
        <v>0.75</v>
      </c>
      <c r="D5" s="7" t="n">
        <v>0.529</v>
      </c>
    </row>
    <row r="6" customFormat="false" ht="12.8" hidden="false" customHeight="false" outlineLevel="0" collapsed="false">
      <c r="A6" s="1" t="n">
        <v>5</v>
      </c>
      <c r="B6" s="5" t="s">
        <v>9</v>
      </c>
      <c r="C6" s="7" t="n">
        <v>0.714</v>
      </c>
      <c r="D6" s="7" t="n">
        <v>0.609</v>
      </c>
    </row>
    <row r="7" customFormat="false" ht="12.8" hidden="false" customHeight="false" outlineLevel="0" collapsed="false">
      <c r="A7" s="1" t="n">
        <v>6</v>
      </c>
      <c r="B7" s="5" t="s">
        <v>13</v>
      </c>
      <c r="C7" s="7" t="n">
        <v>0.714</v>
      </c>
      <c r="D7" s="7" t="n">
        <v>0.578</v>
      </c>
    </row>
    <row r="8" customFormat="false" ht="12.8" hidden="false" customHeight="false" outlineLevel="0" collapsed="false">
      <c r="A8" s="1" t="n">
        <v>7</v>
      </c>
      <c r="B8" s="4" t="s">
        <v>3</v>
      </c>
      <c r="C8" s="7" t="n">
        <v>0.714</v>
      </c>
      <c r="D8" s="7" t="n">
        <v>0.545</v>
      </c>
    </row>
    <row r="9" customFormat="false" ht="12.8" hidden="false" customHeight="false" outlineLevel="0" collapsed="false">
      <c r="A9" s="1" t="n">
        <v>8</v>
      </c>
      <c r="B9" s="4" t="s">
        <v>8</v>
      </c>
      <c r="C9" s="7" t="n">
        <v>0.625</v>
      </c>
      <c r="D9" s="7" t="n">
        <v>0.61</v>
      </c>
    </row>
    <row r="10" customFormat="false" ht="12.8" hidden="false" customHeight="false" outlineLevel="0" collapsed="false">
      <c r="A10" s="1" t="n">
        <v>9</v>
      </c>
      <c r="B10" s="5" t="s">
        <v>29</v>
      </c>
      <c r="C10" s="7" t="n">
        <v>0.625</v>
      </c>
      <c r="D10" s="7" t="n">
        <v>0.548</v>
      </c>
    </row>
    <row r="11" customFormat="false" ht="12.8" hidden="false" customHeight="false" outlineLevel="0" collapsed="false">
      <c r="A11" s="1" t="n">
        <v>10</v>
      </c>
      <c r="B11" s="4" t="s">
        <v>28</v>
      </c>
      <c r="C11" s="7" t="n">
        <v>0.625</v>
      </c>
      <c r="D11" s="7" t="n">
        <v>0.544</v>
      </c>
    </row>
    <row r="12" customFormat="false" ht="12.8" hidden="false" customHeight="false" outlineLevel="0" collapsed="false">
      <c r="A12" s="1" t="n">
        <v>11</v>
      </c>
      <c r="B12" s="4" t="s">
        <v>21</v>
      </c>
      <c r="C12" s="7" t="n">
        <v>0.625</v>
      </c>
      <c r="D12" s="7" t="n">
        <v>0.535</v>
      </c>
    </row>
    <row r="13" customFormat="false" ht="12.8" hidden="false" customHeight="false" outlineLevel="0" collapsed="false">
      <c r="A13" s="1" t="n">
        <v>12</v>
      </c>
      <c r="B13" s="4" t="s">
        <v>2</v>
      </c>
      <c r="C13" s="7" t="n">
        <v>0.571</v>
      </c>
      <c r="D13" s="7" t="n">
        <v>0.542</v>
      </c>
    </row>
    <row r="14" customFormat="false" ht="12.8" hidden="false" customHeight="false" outlineLevel="0" collapsed="false">
      <c r="A14" s="1" t="n">
        <v>13</v>
      </c>
      <c r="B14" s="5" t="s">
        <v>22</v>
      </c>
      <c r="C14" s="7" t="n">
        <v>0.571</v>
      </c>
      <c r="D14" s="7" t="n">
        <v>0.505</v>
      </c>
    </row>
    <row r="15" customFormat="false" ht="12.8" hidden="false" customHeight="false" outlineLevel="0" collapsed="false">
      <c r="A15" s="1" t="n">
        <v>14</v>
      </c>
      <c r="B15" s="5" t="s">
        <v>30</v>
      </c>
      <c r="C15" s="7" t="n">
        <v>0.5</v>
      </c>
      <c r="D15" s="7" t="n">
        <v>0.525</v>
      </c>
    </row>
    <row r="16" customFormat="false" ht="12.8" hidden="false" customHeight="false" outlineLevel="0" collapsed="false">
      <c r="A16" s="1" t="n">
        <v>15</v>
      </c>
      <c r="B16" s="4" t="s">
        <v>11</v>
      </c>
      <c r="C16" s="7" t="n">
        <v>0.5</v>
      </c>
      <c r="D16" s="7" t="n">
        <v>0.515</v>
      </c>
    </row>
    <row r="17" customFormat="false" ht="12.8" hidden="false" customHeight="false" outlineLevel="0" collapsed="false">
      <c r="A17" s="1" t="n">
        <v>16</v>
      </c>
      <c r="B17" s="4" t="s">
        <v>25</v>
      </c>
      <c r="C17" s="7" t="n">
        <v>0.5</v>
      </c>
      <c r="D17" s="7" t="n">
        <v>0.513</v>
      </c>
    </row>
    <row r="18" customFormat="false" ht="12.8" hidden="false" customHeight="false" outlineLevel="0" collapsed="false">
      <c r="A18" s="1" t="n">
        <v>17</v>
      </c>
      <c r="B18" s="4" t="s">
        <v>17</v>
      </c>
      <c r="C18" s="7" t="n">
        <v>0.5</v>
      </c>
      <c r="D18" s="7" t="n">
        <v>0.488</v>
      </c>
    </row>
    <row r="19" customFormat="false" ht="12.8" hidden="false" customHeight="false" outlineLevel="0" collapsed="false">
      <c r="A19" s="1" t="n">
        <v>18</v>
      </c>
      <c r="B19" s="4" t="s">
        <v>31</v>
      </c>
      <c r="C19" s="7" t="n">
        <v>0.5</v>
      </c>
      <c r="D19" s="7" t="n">
        <v>0.473</v>
      </c>
    </row>
    <row r="20" customFormat="false" ht="12.8" hidden="false" customHeight="false" outlineLevel="0" collapsed="false">
      <c r="A20" s="1" t="n">
        <v>19</v>
      </c>
      <c r="B20" s="5" t="s">
        <v>20</v>
      </c>
      <c r="C20" s="7" t="n">
        <v>0.5</v>
      </c>
      <c r="D20" s="7" t="n">
        <v>0.461</v>
      </c>
    </row>
    <row r="21" customFormat="false" ht="12.8" hidden="false" customHeight="false" outlineLevel="0" collapsed="false">
      <c r="A21" s="1" t="n">
        <v>20</v>
      </c>
      <c r="B21" s="4" t="s">
        <v>14</v>
      </c>
      <c r="C21" s="7" t="n">
        <v>0.5</v>
      </c>
      <c r="D21" s="7" t="n">
        <v>0.46</v>
      </c>
    </row>
    <row r="22" customFormat="false" ht="12.8" hidden="false" customHeight="false" outlineLevel="0" collapsed="false">
      <c r="A22" s="1" t="n">
        <v>21</v>
      </c>
      <c r="B22" s="4" t="s">
        <v>5</v>
      </c>
      <c r="C22" s="7" t="n">
        <v>0.5</v>
      </c>
      <c r="D22" s="7" t="n">
        <v>0.442</v>
      </c>
    </row>
    <row r="23" customFormat="false" ht="12.8" hidden="false" customHeight="false" outlineLevel="0" collapsed="false">
      <c r="A23" s="1" t="n">
        <v>22</v>
      </c>
      <c r="B23" s="4" t="s">
        <v>6</v>
      </c>
      <c r="C23" s="7" t="n">
        <v>0.429</v>
      </c>
      <c r="D23" s="7" t="n">
        <v>0.46</v>
      </c>
    </row>
    <row r="24" customFormat="false" ht="12.8" hidden="false" customHeight="false" outlineLevel="0" collapsed="false">
      <c r="A24" s="1" t="n">
        <v>23</v>
      </c>
      <c r="B24" s="4" t="s">
        <v>34</v>
      </c>
      <c r="C24" s="7" t="n">
        <v>0.375</v>
      </c>
      <c r="D24" s="7" t="n">
        <v>0.477</v>
      </c>
    </row>
    <row r="25" customFormat="false" ht="12.8" hidden="false" customHeight="false" outlineLevel="0" collapsed="false">
      <c r="A25" s="1" t="n">
        <v>24</v>
      </c>
      <c r="B25" s="4" t="s">
        <v>24</v>
      </c>
      <c r="C25" s="7" t="n">
        <v>0.375</v>
      </c>
      <c r="D25" s="7" t="n">
        <v>0.477</v>
      </c>
    </row>
    <row r="26" customFormat="false" ht="12.8" hidden="false" customHeight="false" outlineLevel="0" collapsed="false">
      <c r="A26" s="1" t="n">
        <v>25</v>
      </c>
      <c r="B26" s="4" t="s">
        <v>12</v>
      </c>
      <c r="C26" s="7" t="n">
        <v>0.375</v>
      </c>
      <c r="D26" s="7" t="n">
        <v>0.467</v>
      </c>
    </row>
    <row r="27" customFormat="false" ht="12.8" hidden="false" customHeight="false" outlineLevel="0" collapsed="false">
      <c r="A27" s="1" t="n">
        <v>26</v>
      </c>
      <c r="B27" s="4" t="s">
        <v>33</v>
      </c>
      <c r="C27" s="7" t="n">
        <v>0.375</v>
      </c>
      <c r="D27" s="7" t="n">
        <v>0.455</v>
      </c>
    </row>
    <row r="28" customFormat="false" ht="12.8" hidden="false" customHeight="false" outlineLevel="0" collapsed="false">
      <c r="A28" s="1" t="n">
        <v>27</v>
      </c>
      <c r="B28" s="4" t="s">
        <v>10</v>
      </c>
      <c r="C28" s="7" t="n">
        <v>0.375</v>
      </c>
      <c r="D28" s="7" t="n">
        <v>0.442</v>
      </c>
    </row>
    <row r="29" customFormat="false" ht="12.8" hidden="false" customHeight="false" outlineLevel="0" collapsed="false">
      <c r="A29" s="1" t="n">
        <v>28</v>
      </c>
      <c r="B29" s="5" t="s">
        <v>4</v>
      </c>
      <c r="C29" s="7" t="n">
        <v>0.286</v>
      </c>
      <c r="D29" s="7" t="n">
        <v>0.427</v>
      </c>
    </row>
    <row r="30" customFormat="false" ht="12.8" hidden="false" customHeight="false" outlineLevel="0" collapsed="false">
      <c r="A30" s="1" t="n">
        <v>29</v>
      </c>
      <c r="B30" s="4" t="s">
        <v>19</v>
      </c>
      <c r="C30" s="7" t="n">
        <v>0.286</v>
      </c>
      <c r="D30" s="7" t="n">
        <v>0.378</v>
      </c>
    </row>
    <row r="31" customFormat="false" ht="12.8" hidden="false" customHeight="false" outlineLevel="0" collapsed="false">
      <c r="A31" s="1" t="n">
        <v>30</v>
      </c>
      <c r="B31" s="4" t="s">
        <v>26</v>
      </c>
      <c r="C31" s="7" t="n">
        <v>0.25</v>
      </c>
      <c r="D31" s="7" t="n">
        <v>0.462</v>
      </c>
    </row>
    <row r="32" customFormat="false" ht="12.8" hidden="false" customHeight="false" outlineLevel="0" collapsed="false">
      <c r="A32" s="1" t="n">
        <v>31</v>
      </c>
      <c r="B32" s="4" t="s">
        <v>16</v>
      </c>
      <c r="C32" s="7" t="n">
        <v>0.25</v>
      </c>
      <c r="D32" s="7" t="n">
        <v>0.42</v>
      </c>
    </row>
    <row r="33" customFormat="false" ht="12.8" hidden="false" customHeight="false" outlineLevel="0" collapsed="false">
      <c r="A33" s="1" t="n">
        <v>32</v>
      </c>
      <c r="B33" s="5" t="s">
        <v>27</v>
      </c>
      <c r="C33" s="7" t="n">
        <v>0.25</v>
      </c>
      <c r="D33" s="7" t="n">
        <v>0.376</v>
      </c>
    </row>
    <row r="34" customFormat="false" ht="12.8" hidden="false" customHeight="false" outlineLevel="0" collapsed="false">
      <c r="A34" s="1" t="n">
        <v>33</v>
      </c>
      <c r="B34" s="4" t="s">
        <v>18</v>
      </c>
      <c r="C34" s="7" t="n">
        <v>0.125</v>
      </c>
      <c r="D34" s="7" t="n">
        <v>0.4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0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J2" activeCellId="0" sqref="J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25"/>
    <col collapsed="false" customWidth="false" hidden="false" outlineLevel="0" max="3" min="3" style="1" width="11.53"/>
    <col collapsed="false" customWidth="true" hidden="false" outlineLevel="0" max="4" min="4" style="5" width="18.11"/>
    <col collapsed="false" customWidth="false" hidden="false" outlineLevel="0" max="10" min="5" style="1" width="11.53"/>
    <col collapsed="false" customWidth="true" hidden="false" outlineLevel="0" max="11" min="11" style="5" width="24.77"/>
  </cols>
  <sheetData>
    <row r="1" s="3" customFormat="true" ht="12.8" hidden="false" customHeight="false" outlineLevel="0" collapsed="false">
      <c r="A1" s="2" t="s">
        <v>133</v>
      </c>
      <c r="B1" s="3" t="s">
        <v>134</v>
      </c>
      <c r="C1" s="2" t="s">
        <v>135</v>
      </c>
      <c r="D1" s="3" t="s">
        <v>136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  <c r="J1" s="2" t="s">
        <v>142</v>
      </c>
      <c r="K1" s="3" t="s">
        <v>143</v>
      </c>
      <c r="XFC1" s="5"/>
      <c r="XFD1" s="5"/>
    </row>
    <row r="2" customFormat="false" ht="12.8" hidden="false" customHeight="false" outlineLevel="0" collapsed="false">
      <c r="A2" s="1" t="n">
        <v>1</v>
      </c>
      <c r="B2" s="5" t="s">
        <v>7</v>
      </c>
      <c r="C2" s="1" t="n">
        <v>1</v>
      </c>
      <c r="D2" s="4" t="s">
        <v>3</v>
      </c>
      <c r="E2" s="1" t="n">
        <v>7</v>
      </c>
      <c r="F2" s="1" t="n">
        <v>8</v>
      </c>
      <c r="G2" s="1" t="n">
        <v>1</v>
      </c>
      <c r="H2" s="1" t="n">
        <v>1</v>
      </c>
      <c r="I2" s="1" t="s">
        <v>144</v>
      </c>
      <c r="J2" s="1" t="str">
        <f aca="false">_xlfn.CONCAT(H2,I2)</f>
        <v>1A</v>
      </c>
      <c r="K2" s="5" t="str">
        <f aca="false">_xlfn.CONCAT(B2, " / ", D2)</f>
        <v>Romeo / Kong</v>
      </c>
    </row>
    <row r="3" customFormat="false" ht="12.8" hidden="false" customHeight="false" outlineLevel="0" collapsed="false">
      <c r="A3" s="1" t="n">
        <v>4</v>
      </c>
      <c r="B3" s="4" t="s">
        <v>32</v>
      </c>
      <c r="C3" s="1" t="n">
        <v>3</v>
      </c>
      <c r="D3" s="4" t="s">
        <v>5</v>
      </c>
      <c r="E3" s="1" t="n">
        <v>21</v>
      </c>
      <c r="F3" s="1" t="n">
        <v>24</v>
      </c>
      <c r="G3" s="1" t="n">
        <v>4</v>
      </c>
      <c r="H3" s="1" t="n">
        <v>2</v>
      </c>
      <c r="I3" s="1" t="s">
        <v>144</v>
      </c>
      <c r="J3" s="1" t="str">
        <f aca="false">_xlfn.CONCAT(H3,I3)</f>
        <v>2A</v>
      </c>
      <c r="K3" s="5" t="str">
        <f aca="false">_xlfn.CONCAT(B3, " / ", D3)</f>
        <v>Mary / Kramer</v>
      </c>
    </row>
    <row r="4" customFormat="false" ht="12.8" hidden="false" customHeight="false" outlineLevel="0" collapsed="false">
      <c r="A4" s="1" t="n">
        <v>2</v>
      </c>
      <c r="B4" s="4" t="s">
        <v>8</v>
      </c>
      <c r="C4" s="1" t="n">
        <v>8</v>
      </c>
      <c r="D4" s="4" t="s">
        <v>17</v>
      </c>
      <c r="E4" s="1" t="n">
        <v>17</v>
      </c>
      <c r="F4" s="1" t="n">
        <v>25</v>
      </c>
      <c r="G4" s="1" t="n">
        <v>6</v>
      </c>
      <c r="H4" s="1" t="n">
        <v>3</v>
      </c>
      <c r="I4" s="1" t="s">
        <v>144</v>
      </c>
      <c r="J4" s="1" t="str">
        <f aca="false">_xlfn.CONCAT(H4,I4)</f>
        <v>3A</v>
      </c>
      <c r="K4" s="5" t="str">
        <f aca="false">_xlfn.CONCAT(B4, " / ", D4)</f>
        <v>Cooper / Mentle</v>
      </c>
    </row>
    <row r="5" customFormat="false" ht="12.8" hidden="false" customHeight="false" outlineLevel="0" collapsed="false">
      <c r="A5" s="1" t="n">
        <v>3</v>
      </c>
      <c r="B5" s="5" t="s">
        <v>29</v>
      </c>
      <c r="C5" s="1" t="n">
        <v>9</v>
      </c>
      <c r="D5" s="5" t="s">
        <v>20</v>
      </c>
      <c r="E5" s="1" t="n">
        <v>19</v>
      </c>
      <c r="F5" s="1" t="n">
        <v>28</v>
      </c>
      <c r="G5" s="1" t="n">
        <v>7</v>
      </c>
      <c r="H5" s="1" t="n">
        <v>4</v>
      </c>
      <c r="I5" s="1" t="s">
        <v>144</v>
      </c>
      <c r="J5" s="1" t="str">
        <f aca="false">_xlfn.CONCAT(H5,I5)</f>
        <v>4A</v>
      </c>
      <c r="K5" s="5" t="str">
        <f aca="false">_xlfn.CONCAT(B5, " / ", D5)</f>
        <v>Virgilio / Nate</v>
      </c>
    </row>
    <row r="6" customFormat="false" ht="12.8" hidden="false" customHeight="false" outlineLevel="0" collapsed="false">
      <c r="A6" s="1" t="n">
        <v>5</v>
      </c>
      <c r="B6" s="4" t="s">
        <v>28</v>
      </c>
      <c r="C6" s="1" t="n">
        <v>10</v>
      </c>
      <c r="D6" s="5" t="s">
        <v>27</v>
      </c>
      <c r="E6" s="1" t="n">
        <v>32</v>
      </c>
      <c r="F6" s="1" t="n">
        <v>42</v>
      </c>
      <c r="G6" s="1" t="n">
        <v>9</v>
      </c>
      <c r="H6" s="1" t="n">
        <v>5</v>
      </c>
      <c r="I6" s="1" t="s">
        <v>144</v>
      </c>
      <c r="J6" s="1" t="str">
        <f aca="false">_xlfn.CONCAT(H6,I6)</f>
        <v>5A</v>
      </c>
      <c r="K6" s="5" t="str">
        <f aca="false">_xlfn.CONCAT(B6, " / ", D6)</f>
        <v>Pound / Watkins</v>
      </c>
    </row>
    <row r="7" customFormat="false" ht="12.8" hidden="false" customHeight="false" outlineLevel="0" collapsed="false">
      <c r="A7" s="1" t="n">
        <v>6</v>
      </c>
      <c r="B7" s="4" t="s">
        <v>14</v>
      </c>
      <c r="C7" s="1" t="n">
        <v>20</v>
      </c>
      <c r="D7" s="4" t="s">
        <v>24</v>
      </c>
      <c r="E7" s="1" t="n">
        <v>24</v>
      </c>
      <c r="F7" s="1" t="n">
        <v>44</v>
      </c>
      <c r="G7" s="1" t="n">
        <v>12</v>
      </c>
      <c r="H7" s="1" t="n">
        <v>6</v>
      </c>
      <c r="I7" s="1" t="s">
        <v>144</v>
      </c>
      <c r="J7" s="1" t="str">
        <f aca="false">_xlfn.CONCAT(H7,I7)</f>
        <v>6A</v>
      </c>
      <c r="K7" s="5" t="str">
        <f aca="false">_xlfn.CONCAT(B7, " / ", D7)</f>
        <v>Struble / Chess</v>
      </c>
    </row>
    <row r="8" customFormat="false" ht="12.8" hidden="false" customHeight="false" outlineLevel="0" collapsed="false">
      <c r="A8" s="1" t="n">
        <v>7</v>
      </c>
      <c r="B8" s="4" t="s">
        <v>34</v>
      </c>
      <c r="C8" s="1" t="n">
        <v>23</v>
      </c>
      <c r="D8" s="4" t="s">
        <v>12</v>
      </c>
      <c r="E8" s="1" t="n">
        <v>25</v>
      </c>
      <c r="F8" s="1" t="n">
        <v>48</v>
      </c>
      <c r="G8" s="1" t="n">
        <v>14</v>
      </c>
      <c r="H8" s="1" t="n">
        <v>7</v>
      </c>
      <c r="I8" s="1" t="s">
        <v>144</v>
      </c>
      <c r="J8" s="1" t="str">
        <f aca="false">_xlfn.CONCAT(H8,I8)</f>
        <v>7A</v>
      </c>
      <c r="K8" s="5" t="str">
        <f aca="false">_xlfn.CONCAT(B8, " / ", D8)</f>
        <v>O’Leary / Lineman</v>
      </c>
    </row>
    <row r="9" customFormat="false" ht="12.8" hidden="false" customHeight="false" outlineLevel="0" collapsed="false">
      <c r="A9" s="1" t="n">
        <v>9</v>
      </c>
      <c r="B9" s="4" t="s">
        <v>25</v>
      </c>
      <c r="C9" s="1" t="n">
        <v>16</v>
      </c>
      <c r="D9" s="4" t="s">
        <v>18</v>
      </c>
      <c r="E9" s="1" t="n">
        <v>33</v>
      </c>
      <c r="F9" s="1" t="n">
        <v>49</v>
      </c>
      <c r="G9" s="1" t="n">
        <v>15</v>
      </c>
      <c r="H9" s="1" t="n">
        <v>8</v>
      </c>
      <c r="I9" s="1" t="s">
        <v>144</v>
      </c>
      <c r="J9" s="1" t="str">
        <f aca="false">_xlfn.CONCAT(H9,I9)</f>
        <v>8A</v>
      </c>
      <c r="K9" s="5" t="str">
        <f aca="false">_xlfn.CONCAT(B9, " / ", D9)</f>
        <v>Chesty / Tex</v>
      </c>
    </row>
    <row r="10" customFormat="false" ht="12.8" hidden="false" customHeight="false" outlineLevel="0" collapsed="false">
      <c r="A10" s="1" t="n">
        <v>8</v>
      </c>
      <c r="B10" s="5" t="s">
        <v>15</v>
      </c>
      <c r="C10" s="1" t="n">
        <v>4</v>
      </c>
      <c r="D10" s="4" t="s">
        <v>2</v>
      </c>
      <c r="E10" s="1" t="n">
        <v>12</v>
      </c>
      <c r="F10" s="1" t="n">
        <v>16</v>
      </c>
      <c r="G10" s="1" t="n">
        <v>2</v>
      </c>
      <c r="H10" s="1" t="n">
        <v>1</v>
      </c>
      <c r="I10" s="1" t="s">
        <v>145</v>
      </c>
      <c r="J10" s="1" t="str">
        <f aca="false">_xlfn.CONCAT(H10,I10)</f>
        <v>1B</v>
      </c>
      <c r="K10" s="5" t="str">
        <f aca="false">_xlfn.CONCAT(B10, " / ", D10)</f>
        <v>Shine / Rooze</v>
      </c>
    </row>
    <row r="11" customFormat="false" ht="12.8" hidden="false" customHeight="false" outlineLevel="0" collapsed="false">
      <c r="A11" s="1" t="n">
        <v>12</v>
      </c>
      <c r="B11" s="4" t="s">
        <v>23</v>
      </c>
      <c r="C11" s="1" t="n">
        <v>2</v>
      </c>
      <c r="D11" s="4" t="s">
        <v>6</v>
      </c>
      <c r="E11" s="1" t="n">
        <v>22</v>
      </c>
      <c r="F11" s="1" t="n">
        <v>24</v>
      </c>
      <c r="G11" s="1" t="n">
        <v>3</v>
      </c>
      <c r="H11" s="1" t="n">
        <v>2</v>
      </c>
      <c r="I11" s="1" t="s">
        <v>145</v>
      </c>
      <c r="J11" s="1" t="str">
        <f aca="false">_xlfn.CONCAT(H11,I11)</f>
        <v>2B</v>
      </c>
      <c r="K11" s="5" t="str">
        <f aca="false">_xlfn.CONCAT(B11, " / ", D11)</f>
        <v>Harris / Bocci</v>
      </c>
    </row>
    <row r="12" customFormat="false" ht="12.8" hidden="false" customHeight="false" outlineLevel="0" collapsed="false">
      <c r="A12" s="1" t="n">
        <v>10</v>
      </c>
      <c r="B12" s="5" t="s">
        <v>13</v>
      </c>
      <c r="C12" s="1" t="n">
        <v>6</v>
      </c>
      <c r="D12" s="4" t="s">
        <v>31</v>
      </c>
      <c r="E12" s="1" t="n">
        <v>18</v>
      </c>
      <c r="F12" s="1" t="n">
        <v>24</v>
      </c>
      <c r="G12" s="1" t="n">
        <v>5</v>
      </c>
      <c r="H12" s="1" t="n">
        <v>3</v>
      </c>
      <c r="I12" s="1" t="s">
        <v>145</v>
      </c>
      <c r="J12" s="1" t="str">
        <f aca="false">_xlfn.CONCAT(H12,I12)</f>
        <v>3B</v>
      </c>
      <c r="K12" s="5" t="str">
        <f aca="false">_xlfn.CONCAT(B12, " / ", D12)</f>
        <v>Obst / Wee</v>
      </c>
    </row>
    <row r="13" customFormat="false" ht="12.8" hidden="false" customHeight="false" outlineLevel="0" collapsed="false">
      <c r="A13" s="1" t="n">
        <v>14</v>
      </c>
      <c r="B13" s="4" t="s">
        <v>21</v>
      </c>
      <c r="C13" s="1" t="n">
        <v>11</v>
      </c>
      <c r="D13" s="4" t="s">
        <v>33</v>
      </c>
      <c r="E13" s="1" t="n">
        <v>26</v>
      </c>
      <c r="F13" s="1" t="n">
        <v>37</v>
      </c>
      <c r="G13" s="1" t="n">
        <v>8</v>
      </c>
      <c r="H13" s="1" t="n">
        <v>4</v>
      </c>
      <c r="I13" s="1" t="s">
        <v>145</v>
      </c>
      <c r="J13" s="1" t="str">
        <f aca="false">_xlfn.CONCAT(H13,I13)</f>
        <v>4B</v>
      </c>
      <c r="K13" s="5" t="str">
        <f aca="false">_xlfn.CONCAT(B13, " / ", D13)</f>
        <v>Spike / Cureton</v>
      </c>
    </row>
    <row r="14" customFormat="false" ht="12.8" hidden="false" customHeight="false" outlineLevel="0" collapsed="false">
      <c r="A14" s="1" t="n">
        <v>11</v>
      </c>
      <c r="B14" s="4" t="s">
        <v>11</v>
      </c>
      <c r="C14" s="1" t="n">
        <v>15</v>
      </c>
      <c r="D14" s="4" t="s">
        <v>10</v>
      </c>
      <c r="E14" s="1" t="n">
        <v>27</v>
      </c>
      <c r="F14" s="1" t="n">
        <v>42</v>
      </c>
      <c r="G14" s="1" t="n">
        <v>10</v>
      </c>
      <c r="H14" s="1" t="n">
        <v>5</v>
      </c>
      <c r="I14" s="1" t="s">
        <v>145</v>
      </c>
      <c r="J14" s="1" t="str">
        <f aca="false">_xlfn.CONCAT(H14,I14)</f>
        <v>5B</v>
      </c>
      <c r="K14" s="5" t="str">
        <f aca="false">_xlfn.CONCAT(B14, " / ", D14)</f>
        <v>Abs / Crash</v>
      </c>
    </row>
    <row r="15" customFormat="false" ht="12.8" hidden="false" customHeight="false" outlineLevel="0" collapsed="false">
      <c r="A15" s="1" t="n">
        <v>15</v>
      </c>
      <c r="B15" s="4" t="s">
        <v>22</v>
      </c>
      <c r="C15" s="1" t="n">
        <v>13</v>
      </c>
      <c r="D15" s="4" t="s">
        <v>26</v>
      </c>
      <c r="E15" s="1" t="n">
        <v>30</v>
      </c>
      <c r="F15" s="1" t="n">
        <v>43</v>
      </c>
      <c r="G15" s="1" t="n">
        <v>11</v>
      </c>
      <c r="H15" s="1" t="n">
        <v>6</v>
      </c>
      <c r="I15" s="1" t="s">
        <v>145</v>
      </c>
      <c r="J15" s="1" t="str">
        <f aca="false">_xlfn.CONCAT(H15,I15)</f>
        <v>6B</v>
      </c>
      <c r="K15" s="5" t="str">
        <f aca="false">_xlfn.CONCAT(B15, " / ", D15)</f>
        <v>Schmanske / Ponzio</v>
      </c>
    </row>
    <row r="16" customFormat="false" ht="12.8" hidden="false" customHeight="false" outlineLevel="0" collapsed="false">
      <c r="A16" s="1" t="n">
        <v>13</v>
      </c>
      <c r="B16" s="4" t="s">
        <v>30</v>
      </c>
      <c r="C16" s="1" t="n">
        <v>14</v>
      </c>
      <c r="D16" s="4" t="s">
        <v>16</v>
      </c>
      <c r="E16" s="1" t="n">
        <v>31</v>
      </c>
      <c r="F16" s="1" t="n">
        <v>45</v>
      </c>
      <c r="G16" s="1" t="n">
        <v>13</v>
      </c>
      <c r="H16" s="1" t="n">
        <v>7</v>
      </c>
      <c r="I16" s="1" t="s">
        <v>145</v>
      </c>
      <c r="J16" s="1" t="str">
        <f aca="false">_xlfn.CONCAT(H16,I16)</f>
        <v>7B</v>
      </c>
      <c r="K16" s="5" t="str">
        <f aca="false">_xlfn.CONCAT(B16, " / ", D16)</f>
        <v>Chisolm / DiPesa</v>
      </c>
    </row>
    <row r="17" customFormat="false" ht="12.8" hidden="false" customHeight="false" outlineLevel="0" collapsed="false">
      <c r="A17" s="1" t="n">
        <v>16</v>
      </c>
      <c r="B17" s="4" t="s">
        <v>4</v>
      </c>
      <c r="C17" s="1" t="n">
        <v>28</v>
      </c>
      <c r="D17" s="5" t="s">
        <v>146</v>
      </c>
      <c r="E17" s="1" t="s">
        <v>147</v>
      </c>
      <c r="F17" s="1" t="n">
        <v>100</v>
      </c>
      <c r="G17" s="1" t="n">
        <v>16</v>
      </c>
      <c r="H17" s="1" t="n">
        <v>8</v>
      </c>
      <c r="I17" s="1" t="s">
        <v>145</v>
      </c>
      <c r="J17" s="1" t="str">
        <f aca="false">_xlfn.CONCAT(H17,I17)</f>
        <v>8B</v>
      </c>
      <c r="K17" s="5" t="str">
        <f aca="false">_xlfn.CONCAT(B17, " / ", D17)</f>
        <v>Della Grotte / House / Latt</v>
      </c>
    </row>
    <row r="30" customFormat="false" ht="12.8" hidden="false" customHeight="false" outlineLevel="0" collapsed="false">
      <c r="E30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H5" activeCellId="0" sqref="H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7.57"/>
    <col collapsed="false" customWidth="true" hidden="false" outlineLevel="0" max="2" min="2" style="5" width="11.62"/>
  </cols>
  <sheetData>
    <row r="1" customFormat="false" ht="12.8" hidden="false" customHeight="false" outlineLevel="0" collapsed="false">
      <c r="A1" s="2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</row>
    <row r="2" customFormat="false" ht="12.8" hidden="false" customHeight="false" outlineLevel="0" collapsed="false">
      <c r="A2" s="2" t="n">
        <v>1</v>
      </c>
      <c r="B2" s="5" t="s">
        <v>148</v>
      </c>
      <c r="C2" s="4" t="s">
        <v>149</v>
      </c>
      <c r="D2" s="4" t="s">
        <v>150</v>
      </c>
      <c r="E2" s="4" t="s">
        <v>151</v>
      </c>
      <c r="F2" s="5" t="s">
        <v>152</v>
      </c>
      <c r="G2" s="4" t="s">
        <v>153</v>
      </c>
      <c r="H2" s="4" t="s">
        <v>154</v>
      </c>
      <c r="I2" s="4" t="s">
        <v>155</v>
      </c>
      <c r="J2" s="4"/>
    </row>
    <row r="3" customFormat="false" ht="12.8" hidden="false" customHeight="false" outlineLevel="0" collapsed="false">
      <c r="A3" s="2" t="n">
        <v>2</v>
      </c>
      <c r="B3" s="5" t="s">
        <v>156</v>
      </c>
      <c r="C3" s="4" t="s">
        <v>157</v>
      </c>
      <c r="D3" s="4" t="s">
        <v>158</v>
      </c>
      <c r="E3" s="4" t="s">
        <v>159</v>
      </c>
      <c r="F3" s="5" t="s">
        <v>160</v>
      </c>
      <c r="G3" s="4" t="s">
        <v>161</v>
      </c>
      <c r="H3" s="4" t="s">
        <v>162</v>
      </c>
      <c r="I3" s="4" t="s">
        <v>163</v>
      </c>
    </row>
    <row r="4" customFormat="false" ht="12.8" hidden="false" customHeight="false" outlineLevel="0" collapsed="false">
      <c r="A4" s="2" t="n">
        <v>3</v>
      </c>
      <c r="B4" s="5" t="s">
        <v>164</v>
      </c>
      <c r="C4" s="4" t="s">
        <v>165</v>
      </c>
      <c r="D4" s="4" t="s">
        <v>166</v>
      </c>
      <c r="E4" s="4" t="s">
        <v>167</v>
      </c>
      <c r="F4" s="5" t="s">
        <v>168</v>
      </c>
      <c r="G4" s="4" t="s">
        <v>169</v>
      </c>
      <c r="H4" s="4" t="s">
        <v>170</v>
      </c>
      <c r="I4" s="4" t="s">
        <v>171</v>
      </c>
      <c r="J4" s="4"/>
    </row>
    <row r="5" customFormat="false" ht="12.8" hidden="false" customHeight="false" outlineLevel="0" collapsed="false">
      <c r="A5" s="2" t="n">
        <v>4</v>
      </c>
      <c r="B5" s="5" t="s">
        <v>172</v>
      </c>
      <c r="C5" s="4" t="s">
        <v>173</v>
      </c>
      <c r="D5" s="4" t="s">
        <v>174</v>
      </c>
      <c r="E5" s="4" t="s">
        <v>175</v>
      </c>
      <c r="F5" s="5" t="s">
        <v>176</v>
      </c>
      <c r="G5" s="4" t="s">
        <v>177</v>
      </c>
      <c r="H5" s="4" t="s">
        <v>178</v>
      </c>
      <c r="I5" s="4" t="s">
        <v>179</v>
      </c>
    </row>
    <row r="6" customFormat="false" ht="12.8" hidden="false" customHeight="false" outlineLevel="0" collapsed="false">
      <c r="A6" s="2" t="n">
        <v>5</v>
      </c>
      <c r="B6" s="5" t="s">
        <v>180</v>
      </c>
      <c r="C6" s="4" t="s">
        <v>181</v>
      </c>
      <c r="D6" s="4" t="s">
        <v>182</v>
      </c>
      <c r="E6" s="4" t="s">
        <v>183</v>
      </c>
      <c r="F6" s="5" t="s">
        <v>184</v>
      </c>
      <c r="G6" s="4" t="s">
        <v>185</v>
      </c>
      <c r="H6" s="4" t="s">
        <v>186</v>
      </c>
      <c r="I6" s="4" t="s">
        <v>187</v>
      </c>
      <c r="J6" s="4"/>
    </row>
    <row r="7" customFormat="false" ht="12.8" hidden="false" customHeight="false" outlineLevel="0" collapsed="false">
      <c r="A7" s="2" t="n">
        <v>6</v>
      </c>
      <c r="B7" s="5" t="s">
        <v>188</v>
      </c>
      <c r="C7" s="4" t="s">
        <v>189</v>
      </c>
      <c r="D7" s="4" t="s">
        <v>190</v>
      </c>
      <c r="E7" s="4" t="s">
        <v>191</v>
      </c>
      <c r="F7" s="5" t="s">
        <v>192</v>
      </c>
      <c r="G7" s="4" t="s">
        <v>193</v>
      </c>
      <c r="H7" s="4" t="s">
        <v>194</v>
      </c>
      <c r="I7" s="4" t="s">
        <v>195</v>
      </c>
    </row>
    <row r="8" customFormat="false" ht="12.8" hidden="false" customHeight="false" outlineLevel="0" collapsed="false">
      <c r="A8" s="2" t="n">
        <v>7</v>
      </c>
      <c r="B8" s="5" t="s">
        <v>196</v>
      </c>
      <c r="C8" s="4" t="s">
        <v>197</v>
      </c>
      <c r="D8" s="4" t="s">
        <v>198</v>
      </c>
      <c r="E8" s="4" t="s">
        <v>199</v>
      </c>
      <c r="F8" s="5" t="s">
        <v>200</v>
      </c>
      <c r="G8" s="4" t="s">
        <v>201</v>
      </c>
      <c r="H8" s="4" t="s">
        <v>202</v>
      </c>
      <c r="I8" s="4" t="s">
        <v>203</v>
      </c>
      <c r="J8" s="4"/>
    </row>
    <row r="9" customFormat="false" ht="12.8" hidden="false" customHeight="false" outlineLevel="0" collapsed="false">
      <c r="A9" s="2" t="n">
        <v>8</v>
      </c>
      <c r="B9" s="5" t="s">
        <v>204</v>
      </c>
      <c r="C9" s="4" t="s">
        <v>205</v>
      </c>
      <c r="D9" s="4" t="s">
        <v>206</v>
      </c>
      <c r="E9" s="4" t="s">
        <v>207</v>
      </c>
      <c r="F9" s="5" t="s">
        <v>208</v>
      </c>
      <c r="G9" s="4" t="s">
        <v>209</v>
      </c>
      <c r="H9" s="4" t="s">
        <v>210</v>
      </c>
      <c r="I9" s="4" t="s">
        <v>211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2" ySplit="0" topLeftCell="C1" activePane="topRight" state="frozen"/>
      <selection pane="topLeft" activeCell="A1" activeCellId="0" sqref="A1"/>
      <selection pane="topRight" activeCell="A5" activeCellId="0" sqref="A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87"/>
    <col collapsed="false" customWidth="true" hidden="false" outlineLevel="0" max="2" min="2" style="4" width="24.77"/>
    <col collapsed="false" customWidth="true" hidden="false" outlineLevel="0" max="4" min="3" style="6" width="7.16"/>
    <col collapsed="false" customWidth="true" hidden="false" outlineLevel="0" max="5" min="5" style="7" width="8.37"/>
    <col collapsed="false" customWidth="true" hidden="false" outlineLevel="0" max="13" min="6" style="6" width="5.46"/>
    <col collapsed="false" customWidth="true" hidden="false" outlineLevel="0" max="14" min="14" style="6" width="8.96"/>
    <col collapsed="false" customWidth="true" hidden="false" outlineLevel="0" max="22" min="15" style="6" width="5.46"/>
    <col collapsed="false" customWidth="true" hidden="false" outlineLevel="0" max="23" min="23" style="6" width="9.16"/>
    <col collapsed="false" customWidth="true" hidden="false" outlineLevel="0" max="24" min="24" style="7" width="7.88"/>
  </cols>
  <sheetData>
    <row r="1" customFormat="false" ht="12.8" hidden="false" customHeight="false" outlineLevel="0" collapsed="false">
      <c r="A1" s="2" t="s">
        <v>142</v>
      </c>
      <c r="B1" s="3" t="s">
        <v>212</v>
      </c>
      <c r="C1" s="2" t="s">
        <v>109</v>
      </c>
      <c r="D1" s="2" t="s">
        <v>110</v>
      </c>
      <c r="E1" s="8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2" t="s">
        <v>118</v>
      </c>
      <c r="M1" s="2" t="s">
        <v>119</v>
      </c>
      <c r="N1" s="2" t="s">
        <v>120</v>
      </c>
      <c r="O1" s="2" t="s">
        <v>121</v>
      </c>
      <c r="P1" s="2" t="s">
        <v>122</v>
      </c>
      <c r="Q1" s="2" t="s">
        <v>123</v>
      </c>
      <c r="R1" s="2" t="s">
        <v>124</v>
      </c>
      <c r="S1" s="2" t="s">
        <v>125</v>
      </c>
      <c r="T1" s="2" t="s">
        <v>126</v>
      </c>
      <c r="U1" s="2" t="s">
        <v>127</v>
      </c>
      <c r="V1" s="2" t="s">
        <v>128</v>
      </c>
      <c r="W1" s="2" t="s">
        <v>129</v>
      </c>
      <c r="X1" s="8" t="s">
        <v>130</v>
      </c>
    </row>
    <row r="2" customFormat="false" ht="12.8" hidden="false" customHeight="false" outlineLevel="0" collapsed="false">
      <c r="A2" s="1" t="s">
        <v>213</v>
      </c>
      <c r="B2" s="4" t="s">
        <v>214</v>
      </c>
      <c r="C2" s="6" t="n">
        <f aca="false">COUNTIF(F2:M2,10)</f>
        <v>4</v>
      </c>
      <c r="D2" s="6" t="n">
        <f aca="false">COUNTIF(O2:V2,10)</f>
        <v>4</v>
      </c>
      <c r="E2" s="7" t="n">
        <f aca="false">C2/(C2+D2)</f>
        <v>0.5</v>
      </c>
      <c r="F2" s="6" t="n">
        <v>4</v>
      </c>
      <c r="G2" s="6" t="n">
        <v>10</v>
      </c>
      <c r="H2" s="6" t="n">
        <v>10</v>
      </c>
      <c r="I2" s="6" t="n">
        <v>10</v>
      </c>
      <c r="J2" s="6" t="n">
        <v>10</v>
      </c>
      <c r="K2" s="6" t="n">
        <v>9</v>
      </c>
      <c r="L2" s="6" t="n">
        <v>6</v>
      </c>
      <c r="M2" s="6" t="n">
        <v>6</v>
      </c>
      <c r="N2" s="6" t="n">
        <v>65</v>
      </c>
      <c r="O2" s="6" t="n">
        <v>10</v>
      </c>
      <c r="P2" s="6" t="n">
        <v>3</v>
      </c>
      <c r="Q2" s="6" t="n">
        <v>7</v>
      </c>
      <c r="R2" s="6" t="n">
        <v>8</v>
      </c>
      <c r="S2" s="6" t="n">
        <v>6</v>
      </c>
      <c r="T2" s="6" t="n">
        <v>10</v>
      </c>
      <c r="U2" s="6" t="n">
        <v>10</v>
      </c>
      <c r="V2" s="6" t="n">
        <v>10</v>
      </c>
      <c r="W2" s="6" t="n">
        <v>64</v>
      </c>
      <c r="X2" s="7" t="n">
        <f aca="false">N2/(N2+W2)</f>
        <v>0.503875968992248</v>
      </c>
    </row>
    <row r="3" customFormat="false" ht="12.8" hidden="false" customHeight="false" outlineLevel="0" collapsed="false">
      <c r="A3" s="1" t="s">
        <v>215</v>
      </c>
      <c r="B3" s="4" t="s">
        <v>216</v>
      </c>
      <c r="C3" s="6" t="n">
        <f aca="false">COUNTIF(F3:M3,10)</f>
        <v>7</v>
      </c>
      <c r="D3" s="6" t="n">
        <f aca="false">COUNTIF(O3:V3,10)</f>
        <v>1</v>
      </c>
      <c r="E3" s="7" t="n">
        <f aca="false">C3/(C3+D3)</f>
        <v>0.875</v>
      </c>
      <c r="F3" s="6" t="n">
        <v>10</v>
      </c>
      <c r="G3" s="6" t="n">
        <v>10</v>
      </c>
      <c r="H3" s="6" t="n">
        <v>10</v>
      </c>
      <c r="I3" s="6" t="n">
        <v>5</v>
      </c>
      <c r="J3" s="6" t="n">
        <v>10</v>
      </c>
      <c r="K3" s="6" t="n">
        <v>10</v>
      </c>
      <c r="L3" s="6" t="n">
        <v>10</v>
      </c>
      <c r="M3" s="6" t="n">
        <v>10</v>
      </c>
      <c r="N3" s="6" t="n">
        <v>75</v>
      </c>
      <c r="O3" s="6" t="n">
        <v>6</v>
      </c>
      <c r="P3" s="6" t="n">
        <v>5</v>
      </c>
      <c r="Q3" s="6" t="n">
        <v>8</v>
      </c>
      <c r="R3" s="6" t="n">
        <v>10</v>
      </c>
      <c r="S3" s="6" t="n">
        <v>5</v>
      </c>
      <c r="T3" s="6" t="n">
        <v>6</v>
      </c>
      <c r="U3" s="6" t="n">
        <v>6</v>
      </c>
      <c r="V3" s="6" t="n">
        <v>3</v>
      </c>
      <c r="W3" s="6" t="n">
        <v>49</v>
      </c>
      <c r="X3" s="7" t="n">
        <f aca="false">N3/(N3+W3)</f>
        <v>0.604838709677419</v>
      </c>
    </row>
    <row r="4" customFormat="false" ht="12.8" hidden="false" customHeight="false" outlineLevel="0" collapsed="false">
      <c r="A4" s="1" t="s">
        <v>217</v>
      </c>
      <c r="B4" s="4" t="s">
        <v>218</v>
      </c>
      <c r="C4" s="6" t="n">
        <f aca="false">COUNTIF(F4:M4,10)</f>
        <v>2</v>
      </c>
      <c r="D4" s="6" t="n">
        <f aca="false">COUNTIF(O4:V4,10)</f>
        <v>6</v>
      </c>
      <c r="E4" s="7" t="n">
        <f aca="false">C4/(C4+D4)</f>
        <v>0.25</v>
      </c>
      <c r="F4" s="6" t="n">
        <v>8</v>
      </c>
      <c r="G4" s="6" t="n">
        <v>6</v>
      </c>
      <c r="H4" s="6" t="n">
        <v>8</v>
      </c>
      <c r="I4" s="6" t="n">
        <v>6</v>
      </c>
      <c r="J4" s="6" t="n">
        <v>8</v>
      </c>
      <c r="K4" s="6" t="n">
        <v>10</v>
      </c>
      <c r="L4" s="6" t="n">
        <v>4</v>
      </c>
      <c r="M4" s="6" t="n">
        <v>10</v>
      </c>
      <c r="N4" s="6" t="n">
        <v>60</v>
      </c>
      <c r="O4" s="6" t="n">
        <v>10</v>
      </c>
      <c r="P4" s="6" t="n">
        <v>10</v>
      </c>
      <c r="Q4" s="6" t="n">
        <v>10</v>
      </c>
      <c r="R4" s="6" t="n">
        <v>10</v>
      </c>
      <c r="S4" s="6" t="n">
        <v>10</v>
      </c>
      <c r="T4" s="6" t="n">
        <v>9</v>
      </c>
      <c r="U4" s="6" t="n">
        <v>10</v>
      </c>
      <c r="V4" s="6" t="n">
        <v>6</v>
      </c>
      <c r="W4" s="6" t="n">
        <v>75</v>
      </c>
      <c r="X4" s="7" t="n">
        <f aca="false">N4/(N4+W4)</f>
        <v>0.444444444444444</v>
      </c>
    </row>
    <row r="5" customFormat="false" ht="12.8" hidden="false" customHeight="false" outlineLevel="0" collapsed="false">
      <c r="A5" s="1" t="s">
        <v>219</v>
      </c>
      <c r="B5" s="4" t="s">
        <v>220</v>
      </c>
      <c r="C5" s="6" t="n">
        <f aca="false">COUNTIF(F5:M5,10)</f>
        <v>2</v>
      </c>
      <c r="D5" s="6" t="n">
        <f aca="false">COUNTIF(O5:V5,10)</f>
        <v>6</v>
      </c>
      <c r="E5" s="7" t="n">
        <f aca="false">C5/(C5+D5)</f>
        <v>0.25</v>
      </c>
      <c r="F5" s="6" t="n">
        <v>10</v>
      </c>
      <c r="G5" s="6" t="n">
        <v>10</v>
      </c>
      <c r="H5" s="6" t="n">
        <v>6</v>
      </c>
      <c r="I5" s="6" t="n">
        <v>6</v>
      </c>
      <c r="J5" s="6" t="n">
        <v>6</v>
      </c>
      <c r="K5" s="6" t="n">
        <v>6</v>
      </c>
      <c r="L5" s="6" t="n">
        <v>6</v>
      </c>
      <c r="M5" s="6" t="n">
        <v>1</v>
      </c>
      <c r="N5" s="6" t="n">
        <v>51</v>
      </c>
      <c r="O5" s="6" t="n">
        <v>7</v>
      </c>
      <c r="P5" s="6" t="n">
        <v>6</v>
      </c>
      <c r="Q5" s="6" t="n">
        <v>10</v>
      </c>
      <c r="R5" s="6" t="n">
        <v>10</v>
      </c>
      <c r="S5" s="6" t="n">
        <v>10</v>
      </c>
      <c r="T5" s="6" t="n">
        <v>10</v>
      </c>
      <c r="U5" s="6" t="n">
        <v>10</v>
      </c>
      <c r="V5" s="6" t="n">
        <v>10</v>
      </c>
      <c r="W5" s="6" t="n">
        <v>73</v>
      </c>
      <c r="X5" s="7" t="n">
        <f aca="false">N5/(N5+W5)</f>
        <v>0.411290322580645</v>
      </c>
    </row>
    <row r="6" customFormat="false" ht="12.8" hidden="false" customHeight="false" outlineLevel="0" collapsed="false">
      <c r="A6" s="1" t="s">
        <v>221</v>
      </c>
      <c r="B6" s="4" t="s">
        <v>222</v>
      </c>
      <c r="C6" s="6" t="n">
        <f aca="false">COUNTIF(F6:M6,10)</f>
        <v>3</v>
      </c>
      <c r="D6" s="6" t="n">
        <f aca="false">COUNTIF(O6:V6,10)</f>
        <v>5</v>
      </c>
      <c r="E6" s="7" t="n">
        <f aca="false">C6/(C6+D6)</f>
        <v>0.375</v>
      </c>
      <c r="F6" s="6" t="n">
        <v>7</v>
      </c>
      <c r="G6" s="6" t="n">
        <v>5</v>
      </c>
      <c r="H6" s="6" t="n">
        <v>10</v>
      </c>
      <c r="I6" s="6" t="n">
        <v>8</v>
      </c>
      <c r="J6" s="6" t="n">
        <v>10</v>
      </c>
      <c r="K6" s="6" t="n">
        <v>8</v>
      </c>
      <c r="L6" s="6" t="n">
        <v>10</v>
      </c>
      <c r="M6" s="6" t="n">
        <v>2</v>
      </c>
      <c r="N6" s="6" t="n">
        <v>60</v>
      </c>
      <c r="O6" s="6" t="n">
        <v>10</v>
      </c>
      <c r="P6" s="6" t="n">
        <v>10</v>
      </c>
      <c r="Q6" s="6" t="n">
        <v>4</v>
      </c>
      <c r="R6" s="6" t="n">
        <v>10</v>
      </c>
      <c r="S6" s="6" t="n">
        <v>8</v>
      </c>
      <c r="T6" s="6" t="n">
        <v>10</v>
      </c>
      <c r="U6" s="6" t="n">
        <v>7</v>
      </c>
      <c r="V6" s="6" t="n">
        <v>10</v>
      </c>
      <c r="W6" s="6" t="n">
        <v>69</v>
      </c>
      <c r="X6" s="7" t="n">
        <f aca="false">N6/(N6+W6)</f>
        <v>0.465116279069767</v>
      </c>
    </row>
    <row r="7" customFormat="false" ht="12.8" hidden="false" customHeight="false" outlineLevel="0" collapsed="false">
      <c r="A7" s="1" t="s">
        <v>223</v>
      </c>
      <c r="B7" s="4" t="s">
        <v>224</v>
      </c>
      <c r="C7" s="6" t="n">
        <f aca="false">COUNTIF(F7:M7,10)</f>
        <v>3</v>
      </c>
      <c r="D7" s="6" t="n">
        <f aca="false">COUNTIF(O7:V7,10)</f>
        <v>5</v>
      </c>
      <c r="E7" s="7" t="n">
        <f aca="false">C7/(C7+D7)</f>
        <v>0.375</v>
      </c>
      <c r="F7" s="6" t="n">
        <v>10</v>
      </c>
      <c r="G7" s="6" t="n">
        <v>10</v>
      </c>
      <c r="H7" s="6" t="n">
        <v>7</v>
      </c>
      <c r="I7" s="6" t="n">
        <v>10</v>
      </c>
      <c r="J7" s="6" t="n">
        <v>5</v>
      </c>
      <c r="K7" s="6" t="n">
        <v>4</v>
      </c>
      <c r="L7" s="6" t="n">
        <v>7</v>
      </c>
      <c r="M7" s="6" t="n">
        <v>9</v>
      </c>
      <c r="N7" s="6" t="n">
        <v>62</v>
      </c>
      <c r="O7" s="6" t="n">
        <v>8</v>
      </c>
      <c r="P7" s="6" t="n">
        <v>9</v>
      </c>
      <c r="Q7" s="6" t="n">
        <v>10</v>
      </c>
      <c r="R7" s="6" t="n">
        <v>6</v>
      </c>
      <c r="S7" s="6" t="n">
        <v>10</v>
      </c>
      <c r="T7" s="6" t="n">
        <v>10</v>
      </c>
      <c r="U7" s="6" t="n">
        <v>10</v>
      </c>
      <c r="V7" s="6" t="n">
        <v>10</v>
      </c>
      <c r="W7" s="6" t="n">
        <v>73</v>
      </c>
      <c r="X7" s="7" t="n">
        <f aca="false">N7/(N7+W7)</f>
        <v>0.459259259259259</v>
      </c>
    </row>
    <row r="8" customFormat="false" ht="12.8" hidden="false" customHeight="false" outlineLevel="0" collapsed="false">
      <c r="A8" s="1" t="s">
        <v>225</v>
      </c>
      <c r="B8" s="4" t="s">
        <v>226</v>
      </c>
      <c r="C8" s="6" t="n">
        <f aca="false">COUNTIF(F8:M8,10)</f>
        <v>3</v>
      </c>
      <c r="D8" s="6" t="n">
        <f aca="false">COUNTIF(O8:V8,10)</f>
        <v>5</v>
      </c>
      <c r="E8" s="7" t="n">
        <f aca="false">C8/(C8+D8)</f>
        <v>0.375</v>
      </c>
      <c r="F8" s="6" t="n">
        <v>6</v>
      </c>
      <c r="G8" s="6" t="n">
        <v>3</v>
      </c>
      <c r="H8" s="6" t="n">
        <v>4</v>
      </c>
      <c r="I8" s="6" t="n">
        <v>10</v>
      </c>
      <c r="J8" s="6" t="n">
        <v>6</v>
      </c>
      <c r="K8" s="6" t="n">
        <v>10</v>
      </c>
      <c r="L8" s="6" t="n">
        <v>10</v>
      </c>
      <c r="M8" s="6" t="n">
        <v>1</v>
      </c>
      <c r="N8" s="6" t="n">
        <v>50</v>
      </c>
      <c r="O8" s="6" t="n">
        <v>10</v>
      </c>
      <c r="P8" s="6" t="n">
        <v>10</v>
      </c>
      <c r="Q8" s="6" t="n">
        <v>10</v>
      </c>
      <c r="R8" s="6" t="n">
        <v>6</v>
      </c>
      <c r="S8" s="6" t="n">
        <v>10</v>
      </c>
      <c r="T8" s="6" t="n">
        <v>4</v>
      </c>
      <c r="U8" s="6" t="n">
        <v>6</v>
      </c>
      <c r="V8" s="6" t="n">
        <v>10</v>
      </c>
      <c r="W8" s="6" t="n">
        <v>66</v>
      </c>
      <c r="X8" s="7" t="n">
        <f aca="false">N8/(N8+W8)</f>
        <v>0.431034482758621</v>
      </c>
    </row>
    <row r="9" customFormat="false" ht="12.8" hidden="false" customHeight="false" outlineLevel="0" collapsed="false">
      <c r="A9" s="1" t="s">
        <v>227</v>
      </c>
      <c r="B9" s="4" t="s">
        <v>228</v>
      </c>
      <c r="C9" s="6" t="n">
        <f aca="false">COUNTIF(F9:M9,10)</f>
        <v>7</v>
      </c>
      <c r="D9" s="6" t="n">
        <f aca="false">COUNTIF(O9:V9,10)</f>
        <v>1</v>
      </c>
      <c r="E9" s="7" t="n">
        <f aca="false">C9/(C9+D9)</f>
        <v>0.875</v>
      </c>
      <c r="F9" s="6" t="n">
        <v>10</v>
      </c>
      <c r="G9" s="6" t="n">
        <v>9</v>
      </c>
      <c r="H9" s="6" t="n">
        <v>10</v>
      </c>
      <c r="I9" s="6" t="n">
        <v>10</v>
      </c>
      <c r="J9" s="6" t="n">
        <v>10</v>
      </c>
      <c r="K9" s="6" t="n">
        <v>10</v>
      </c>
      <c r="L9" s="6" t="n">
        <v>10</v>
      </c>
      <c r="M9" s="6" t="n">
        <v>10</v>
      </c>
      <c r="N9" s="6" t="n">
        <v>79</v>
      </c>
      <c r="O9" s="6" t="n">
        <v>4</v>
      </c>
      <c r="P9" s="6" t="n">
        <v>10</v>
      </c>
      <c r="Q9" s="6" t="n">
        <v>6</v>
      </c>
      <c r="R9" s="6" t="n">
        <v>5</v>
      </c>
      <c r="S9" s="6" t="n">
        <v>6</v>
      </c>
      <c r="T9" s="6" t="n">
        <v>8</v>
      </c>
      <c r="U9" s="6" t="n">
        <v>4</v>
      </c>
      <c r="V9" s="6" t="n">
        <v>9</v>
      </c>
      <c r="W9" s="6" t="n">
        <v>52</v>
      </c>
      <c r="X9" s="7" t="n">
        <f aca="false">N9/(N9+W9)</f>
        <v>0.603053435114504</v>
      </c>
    </row>
    <row r="10" customFormat="false" ht="12.8" hidden="false" customHeight="false" outlineLevel="0" collapsed="false">
      <c r="A10" s="1" t="s">
        <v>229</v>
      </c>
      <c r="B10" s="4" t="s">
        <v>230</v>
      </c>
      <c r="C10" s="6" t="n">
        <f aca="false">COUNTIF(F10:M10,10)</f>
        <v>3</v>
      </c>
      <c r="D10" s="6" t="n">
        <f aca="false">COUNTIF(O10:V10,10)</f>
        <v>5</v>
      </c>
      <c r="E10" s="7" t="n">
        <f aca="false">C10/(C10+D10)</f>
        <v>0.375</v>
      </c>
      <c r="F10" s="6" t="n">
        <v>10</v>
      </c>
      <c r="G10" s="6" t="n">
        <v>10</v>
      </c>
      <c r="H10" s="6" t="n">
        <v>8</v>
      </c>
      <c r="I10" s="6" t="n">
        <v>10</v>
      </c>
      <c r="J10" s="6" t="n">
        <v>8</v>
      </c>
      <c r="K10" s="6" t="n">
        <v>7</v>
      </c>
      <c r="L10" s="6" t="n">
        <v>6</v>
      </c>
      <c r="M10" s="6" t="n">
        <v>9</v>
      </c>
      <c r="N10" s="6" t="n">
        <v>68</v>
      </c>
      <c r="O10" s="6" t="n">
        <v>0</v>
      </c>
      <c r="P10" s="6" t="n">
        <v>1</v>
      </c>
      <c r="Q10" s="6" t="n">
        <v>10</v>
      </c>
      <c r="R10" s="6" t="n">
        <v>4</v>
      </c>
      <c r="S10" s="6" t="n">
        <v>10</v>
      </c>
      <c r="T10" s="6" t="n">
        <v>10</v>
      </c>
      <c r="U10" s="6" t="n">
        <v>10</v>
      </c>
      <c r="V10" s="6" t="n">
        <v>10</v>
      </c>
      <c r="W10" s="6" t="n">
        <v>55</v>
      </c>
      <c r="X10" s="7" t="n">
        <f aca="false">N10/(N10+W10)</f>
        <v>0.552845528455285</v>
      </c>
    </row>
    <row r="11" customFormat="false" ht="12.8" hidden="false" customHeight="false" outlineLevel="0" collapsed="false">
      <c r="A11" s="1" t="s">
        <v>231</v>
      </c>
      <c r="B11" s="4" t="s">
        <v>232</v>
      </c>
      <c r="C11" s="6" t="n">
        <f aca="false">COUNTIF(F11:M11,10)</f>
        <v>4</v>
      </c>
      <c r="D11" s="6" t="n">
        <f aca="false">COUNTIF(O11:V11,10)</f>
        <v>4</v>
      </c>
      <c r="E11" s="7" t="n">
        <f aca="false">C11/(C11+D11)</f>
        <v>0.5</v>
      </c>
      <c r="F11" s="6" t="n">
        <v>8</v>
      </c>
      <c r="G11" s="6" t="n">
        <v>10</v>
      </c>
      <c r="H11" s="6" t="n">
        <v>7</v>
      </c>
      <c r="I11" s="6" t="n">
        <v>7</v>
      </c>
      <c r="J11" s="6" t="n">
        <v>10</v>
      </c>
      <c r="K11" s="6" t="n">
        <v>4</v>
      </c>
      <c r="L11" s="6" t="n">
        <v>10</v>
      </c>
      <c r="M11" s="6" t="n">
        <v>10</v>
      </c>
      <c r="N11" s="6" t="n">
        <v>66</v>
      </c>
      <c r="O11" s="6" t="n">
        <v>10</v>
      </c>
      <c r="P11" s="6" t="n">
        <v>7</v>
      </c>
      <c r="Q11" s="6" t="n">
        <v>10</v>
      </c>
      <c r="R11" s="6" t="n">
        <v>10</v>
      </c>
      <c r="S11" s="6" t="n">
        <v>9</v>
      </c>
      <c r="T11" s="6" t="n">
        <v>10</v>
      </c>
      <c r="U11" s="6" t="n">
        <v>6</v>
      </c>
      <c r="V11" s="6" t="n">
        <v>1</v>
      </c>
      <c r="W11" s="6" t="n">
        <v>63</v>
      </c>
      <c r="X11" s="7" t="n">
        <f aca="false">N11/(N11+W11)</f>
        <v>0.511627906976744</v>
      </c>
    </row>
    <row r="12" customFormat="false" ht="12.8" hidden="false" customHeight="false" outlineLevel="0" collapsed="false">
      <c r="A12" s="1" t="s">
        <v>233</v>
      </c>
      <c r="B12" s="4" t="s">
        <v>234</v>
      </c>
      <c r="C12" s="6" t="n">
        <f aca="false">COUNTIF(F12:M12,10)</f>
        <v>5</v>
      </c>
      <c r="D12" s="6" t="n">
        <f aca="false">COUNTIF(O12:V12,10)</f>
        <v>3</v>
      </c>
      <c r="E12" s="7" t="n">
        <f aca="false">C12/(C12+D12)</f>
        <v>0.625</v>
      </c>
      <c r="F12" s="6" t="n">
        <v>8</v>
      </c>
      <c r="G12" s="6" t="n">
        <v>10</v>
      </c>
      <c r="H12" s="6" t="n">
        <v>10</v>
      </c>
      <c r="I12" s="9" t="n">
        <v>5</v>
      </c>
      <c r="J12" s="6" t="n">
        <v>10</v>
      </c>
      <c r="K12" s="6" t="n">
        <v>10</v>
      </c>
      <c r="L12" s="6" t="n">
        <v>8</v>
      </c>
      <c r="M12" s="6" t="n">
        <v>10</v>
      </c>
      <c r="N12" s="6" t="n">
        <v>68</v>
      </c>
      <c r="O12" s="6" t="n">
        <v>10</v>
      </c>
      <c r="P12" s="6" t="n">
        <v>7</v>
      </c>
      <c r="Q12" s="6" t="n">
        <v>7</v>
      </c>
      <c r="R12" s="6" t="n">
        <v>10</v>
      </c>
      <c r="S12" s="6" t="n">
        <v>3</v>
      </c>
      <c r="T12" s="6" t="n">
        <v>7</v>
      </c>
      <c r="U12" s="6" t="n">
        <v>10</v>
      </c>
      <c r="V12" s="6" t="n">
        <v>9</v>
      </c>
      <c r="W12" s="6" t="n">
        <v>63</v>
      </c>
      <c r="X12" s="7" t="n">
        <f aca="false">N12/(N12+W12)</f>
        <v>0.519083969465649</v>
      </c>
    </row>
    <row r="13" customFormat="false" ht="12.8" hidden="false" customHeight="false" outlineLevel="0" collapsed="false">
      <c r="A13" s="1" t="s">
        <v>235</v>
      </c>
      <c r="B13" s="4" t="s">
        <v>236</v>
      </c>
      <c r="C13" s="6" t="n">
        <f aca="false">COUNTIF(F13:M13,10)</f>
        <v>6</v>
      </c>
      <c r="D13" s="6" t="n">
        <f aca="false">COUNTIF(O13:V13,10)</f>
        <v>2</v>
      </c>
      <c r="E13" s="7" t="n">
        <f aca="false">C13/(C13+D13)</f>
        <v>0.75</v>
      </c>
      <c r="F13" s="6" t="n">
        <v>10</v>
      </c>
      <c r="G13" s="6" t="n">
        <v>7</v>
      </c>
      <c r="H13" s="6" t="n">
        <v>2</v>
      </c>
      <c r="I13" s="6" t="n">
        <v>10</v>
      </c>
      <c r="J13" s="6" t="n">
        <v>10</v>
      </c>
      <c r="K13" s="6" t="n">
        <v>10</v>
      </c>
      <c r="L13" s="6" t="n">
        <v>10</v>
      </c>
      <c r="M13" s="6" t="n">
        <v>10</v>
      </c>
      <c r="N13" s="6" t="n">
        <v>69</v>
      </c>
      <c r="O13" s="6" t="n">
        <v>3</v>
      </c>
      <c r="P13" s="6" t="n">
        <v>10</v>
      </c>
      <c r="Q13" s="6" t="n">
        <v>10</v>
      </c>
      <c r="R13" s="6" t="n">
        <v>3</v>
      </c>
      <c r="S13" s="6" t="n">
        <v>8</v>
      </c>
      <c r="T13" s="6" t="n">
        <v>4</v>
      </c>
      <c r="U13" s="6" t="n">
        <v>3</v>
      </c>
      <c r="V13" s="6" t="n">
        <v>2</v>
      </c>
      <c r="W13" s="6" t="n">
        <v>43</v>
      </c>
      <c r="X13" s="7" t="n">
        <f aca="false">N13/(N13+W13)</f>
        <v>0.616071428571429</v>
      </c>
    </row>
    <row r="14" customFormat="false" ht="12.8" hidden="false" customHeight="false" outlineLevel="0" collapsed="false">
      <c r="A14" s="1" t="s">
        <v>237</v>
      </c>
      <c r="B14" s="4" t="s">
        <v>238</v>
      </c>
      <c r="C14" s="6" t="n">
        <f aca="false">COUNTIF(F14:M14,10)</f>
        <v>3</v>
      </c>
      <c r="D14" s="6" t="n">
        <f aca="false">COUNTIF(O14:V14,10)</f>
        <v>5</v>
      </c>
      <c r="E14" s="7" t="n">
        <f aca="false">C14/(C14+D14)</f>
        <v>0.375</v>
      </c>
      <c r="F14" s="6" t="n">
        <v>3</v>
      </c>
      <c r="G14" s="6" t="n">
        <v>7</v>
      </c>
      <c r="H14" s="6" t="n">
        <v>7</v>
      </c>
      <c r="I14" s="9" t="n">
        <v>4</v>
      </c>
      <c r="J14" s="6" t="n">
        <v>3</v>
      </c>
      <c r="K14" s="6" t="n">
        <v>10</v>
      </c>
      <c r="L14" s="6" t="n">
        <v>10</v>
      </c>
      <c r="M14" s="6" t="n">
        <v>10</v>
      </c>
      <c r="N14" s="6" t="n">
        <v>58</v>
      </c>
      <c r="O14" s="6" t="n">
        <v>10</v>
      </c>
      <c r="P14" s="6" t="n">
        <v>10</v>
      </c>
      <c r="Q14" s="6" t="n">
        <v>10</v>
      </c>
      <c r="R14" s="6" t="n">
        <v>10</v>
      </c>
      <c r="S14" s="6" t="n">
        <v>10</v>
      </c>
      <c r="T14" s="6" t="n">
        <v>9</v>
      </c>
      <c r="U14" s="6" t="n">
        <v>9</v>
      </c>
      <c r="V14" s="6" t="n">
        <v>1</v>
      </c>
      <c r="W14" s="6" t="n">
        <v>69</v>
      </c>
      <c r="X14" s="7" t="n">
        <f aca="false">N14/(N14+W14)</f>
        <v>0.456692913385827</v>
      </c>
    </row>
    <row r="15" customFormat="false" ht="12.8" hidden="false" customHeight="false" outlineLevel="0" collapsed="false">
      <c r="A15" s="1" t="s">
        <v>239</v>
      </c>
      <c r="B15" s="4" t="s">
        <v>240</v>
      </c>
      <c r="C15" s="6" t="n">
        <f aca="false">COUNTIF(F15:M15,10)</f>
        <v>2</v>
      </c>
      <c r="D15" s="6" t="n">
        <f aca="false">COUNTIF(O15:V15,10)</f>
        <v>6</v>
      </c>
      <c r="E15" s="7" t="n">
        <f aca="false">C15/(C15+D15)</f>
        <v>0.25</v>
      </c>
      <c r="F15" s="6" t="n">
        <v>10</v>
      </c>
      <c r="G15" s="6" t="n">
        <v>1</v>
      </c>
      <c r="H15" s="6" t="n">
        <v>10</v>
      </c>
      <c r="I15" s="6" t="n">
        <v>3</v>
      </c>
      <c r="J15" s="6" t="n">
        <v>9</v>
      </c>
      <c r="K15" s="6" t="n">
        <v>8</v>
      </c>
      <c r="L15" s="6" t="n">
        <v>9</v>
      </c>
      <c r="M15" s="6" t="n">
        <v>6</v>
      </c>
      <c r="N15" s="6" t="n">
        <v>56</v>
      </c>
      <c r="O15" s="6" t="n">
        <v>8</v>
      </c>
      <c r="P15" s="6" t="n">
        <v>10</v>
      </c>
      <c r="Q15" s="6" t="n">
        <v>8</v>
      </c>
      <c r="R15" s="6" t="n">
        <v>10</v>
      </c>
      <c r="S15" s="6" t="n">
        <v>10</v>
      </c>
      <c r="T15" s="6" t="n">
        <v>10</v>
      </c>
      <c r="U15" s="6" t="n">
        <v>10</v>
      </c>
      <c r="V15" s="6" t="n">
        <v>10</v>
      </c>
      <c r="W15" s="6" t="n">
        <v>76</v>
      </c>
      <c r="X15" s="7" t="n">
        <f aca="false">N15/(N15+W15)</f>
        <v>0.424242424242424</v>
      </c>
    </row>
    <row r="16" customFormat="false" ht="12.8" hidden="false" customHeight="false" outlineLevel="0" collapsed="false">
      <c r="A16" s="1" t="s">
        <v>241</v>
      </c>
      <c r="B16" s="4" t="s">
        <v>242</v>
      </c>
      <c r="C16" s="6" t="n">
        <f aca="false">COUNTIF(F16:M16,10)</f>
        <v>4</v>
      </c>
      <c r="D16" s="6" t="n">
        <f aca="false">COUNTIF(O16:V16,10)</f>
        <v>4</v>
      </c>
      <c r="E16" s="7" t="n">
        <f aca="false">C16/(C16+D16)</f>
        <v>0.5</v>
      </c>
      <c r="F16" s="6" t="n">
        <v>10</v>
      </c>
      <c r="G16" s="6" t="n">
        <v>1</v>
      </c>
      <c r="H16" s="6" t="n">
        <v>10</v>
      </c>
      <c r="I16" s="6" t="n">
        <v>10</v>
      </c>
      <c r="J16" s="6" t="n">
        <v>8</v>
      </c>
      <c r="K16" s="6" t="n">
        <v>10</v>
      </c>
      <c r="L16" s="6" t="n">
        <v>3</v>
      </c>
      <c r="M16" s="6" t="n">
        <v>3</v>
      </c>
      <c r="N16" s="6" t="n">
        <v>55</v>
      </c>
      <c r="O16" s="6" t="n">
        <v>8</v>
      </c>
      <c r="P16" s="6" t="n">
        <v>10</v>
      </c>
      <c r="Q16" s="6" t="n">
        <v>7</v>
      </c>
      <c r="R16" s="9" t="n">
        <v>5</v>
      </c>
      <c r="S16" s="6" t="n">
        <v>10</v>
      </c>
      <c r="T16" s="6" t="n">
        <v>8</v>
      </c>
      <c r="U16" s="6" t="n">
        <v>10</v>
      </c>
      <c r="V16" s="6" t="n">
        <v>10</v>
      </c>
      <c r="W16" s="6" t="n">
        <v>71</v>
      </c>
      <c r="X16" s="7" t="n">
        <f aca="false">N16/(N16+W16)</f>
        <v>0.436507936507937</v>
      </c>
    </row>
    <row r="17" customFormat="false" ht="12.8" hidden="false" customHeight="false" outlineLevel="0" collapsed="false">
      <c r="A17" s="1" t="s">
        <v>243</v>
      </c>
      <c r="B17" s="4" t="s">
        <v>244</v>
      </c>
      <c r="C17" s="6" t="n">
        <f aca="false">COUNTIF(F17:M17,10)</f>
        <v>6</v>
      </c>
      <c r="D17" s="6" t="n">
        <f aca="false">COUNTIF(O17:V17,10)</f>
        <v>2</v>
      </c>
      <c r="E17" s="7" t="n">
        <f aca="false">C17/(C17+D17)</f>
        <v>0.75</v>
      </c>
      <c r="F17" s="6" t="n">
        <v>0</v>
      </c>
      <c r="G17" s="6" t="n">
        <v>10</v>
      </c>
      <c r="H17" s="6" t="n">
        <v>10</v>
      </c>
      <c r="I17" s="6" t="n">
        <v>10</v>
      </c>
      <c r="J17" s="6" t="n">
        <v>10</v>
      </c>
      <c r="K17" s="6" t="n">
        <v>9</v>
      </c>
      <c r="L17" s="6" t="n">
        <v>10</v>
      </c>
      <c r="M17" s="6" t="n">
        <v>10</v>
      </c>
      <c r="N17" s="6" t="n">
        <v>69</v>
      </c>
      <c r="O17" s="6" t="n">
        <v>10</v>
      </c>
      <c r="P17" s="6" t="n">
        <v>1</v>
      </c>
      <c r="Q17" s="6" t="n">
        <v>2</v>
      </c>
      <c r="R17" s="6" t="n">
        <v>7</v>
      </c>
      <c r="S17" s="6" t="n">
        <v>8</v>
      </c>
      <c r="T17" s="6" t="n">
        <v>10</v>
      </c>
      <c r="U17" s="6" t="n">
        <v>8</v>
      </c>
      <c r="V17" s="6" t="n">
        <v>6</v>
      </c>
      <c r="W17" s="6" t="n">
        <v>52</v>
      </c>
      <c r="X17" s="7" t="n">
        <f aca="false">N17/(N17+W17)</f>
        <v>0.570247933884298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T1" activeCellId="0" sqref="T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87"/>
    <col collapsed="false" customWidth="true" hidden="false" outlineLevel="0" max="2" min="2" style="4" width="24.77"/>
    <col collapsed="false" customWidth="true" hidden="false" outlineLevel="0" max="4" min="3" style="6" width="7.16"/>
    <col collapsed="false" customWidth="true" hidden="false" outlineLevel="0" max="5" min="5" style="7" width="8.37"/>
    <col collapsed="false" customWidth="true" hidden="false" outlineLevel="0" max="11" min="6" style="6" width="5.46"/>
    <col collapsed="false" customWidth="true" hidden="false" outlineLevel="0" max="12" min="12" style="6" width="8.96"/>
    <col collapsed="false" customWidth="true" hidden="false" outlineLevel="0" max="18" min="13" style="6" width="5.46"/>
    <col collapsed="false" customWidth="true" hidden="false" outlineLevel="0" max="19" min="19" style="6" width="9.16"/>
    <col collapsed="false" customWidth="true" hidden="false" outlineLevel="0" max="20" min="20" style="7" width="7.88"/>
  </cols>
  <sheetData>
    <row r="1" customFormat="false" ht="12.8" hidden="false" customHeight="false" outlineLevel="0" collapsed="false">
      <c r="A1" s="2" t="s">
        <v>142</v>
      </c>
      <c r="B1" s="3" t="s">
        <v>212</v>
      </c>
      <c r="C1" s="2" t="s">
        <v>109</v>
      </c>
      <c r="D1" s="2" t="s">
        <v>110</v>
      </c>
      <c r="E1" s="8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2" t="s">
        <v>120</v>
      </c>
      <c r="M1" s="2" t="s">
        <v>121</v>
      </c>
      <c r="N1" s="2" t="s">
        <v>122</v>
      </c>
      <c r="O1" s="2" t="s">
        <v>123</v>
      </c>
      <c r="P1" s="2" t="s">
        <v>124</v>
      </c>
      <c r="Q1" s="2" t="s">
        <v>125</v>
      </c>
      <c r="R1" s="2" t="s">
        <v>126</v>
      </c>
      <c r="S1" s="2" t="s">
        <v>129</v>
      </c>
      <c r="T1" s="8" t="s">
        <v>130</v>
      </c>
    </row>
    <row r="2" customFormat="false" ht="12.8" hidden="false" customHeight="false" outlineLevel="0" collapsed="false">
      <c r="A2" s="1" t="s">
        <v>243</v>
      </c>
      <c r="B2" s="4" t="s">
        <v>244</v>
      </c>
      <c r="C2" s="6" t="n">
        <f aca="false">COUNTIF(F2:K2,10)</f>
        <v>4</v>
      </c>
      <c r="D2" s="6" t="n">
        <f aca="false">COUNTIF(M2:R2,10)</f>
        <v>1</v>
      </c>
      <c r="E2" s="7" t="n">
        <f aca="false">C2/(C2+D2)</f>
        <v>0.8</v>
      </c>
      <c r="F2" s="6" t="n">
        <v>5</v>
      </c>
      <c r="G2" s="6" t="n">
        <v>10</v>
      </c>
      <c r="H2" s="6" t="n">
        <v>10</v>
      </c>
      <c r="I2" s="6" t="n">
        <v>10</v>
      </c>
      <c r="J2" s="6" t="n">
        <v>10</v>
      </c>
      <c r="K2" s="6" t="s">
        <v>131</v>
      </c>
      <c r="L2" s="6" t="n">
        <f aca="false">SUM(F2:K2)</f>
        <v>45</v>
      </c>
      <c r="M2" s="6" t="n">
        <v>10</v>
      </c>
      <c r="N2" s="6" t="n">
        <v>8</v>
      </c>
      <c r="O2" s="6" t="n">
        <v>2</v>
      </c>
      <c r="P2" s="6" t="n">
        <v>8</v>
      </c>
      <c r="Q2" s="6" t="n">
        <v>7</v>
      </c>
      <c r="R2" s="6" t="s">
        <v>131</v>
      </c>
      <c r="S2" s="6" t="n">
        <f aca="false">SUM(M2:R2)</f>
        <v>35</v>
      </c>
      <c r="T2" s="7" t="n">
        <f aca="false">L2/(L2+S2)</f>
        <v>0.5625</v>
      </c>
    </row>
    <row r="3" customFormat="false" ht="12.8" hidden="false" customHeight="false" outlineLevel="0" collapsed="false">
      <c r="A3" s="1" t="s">
        <v>235</v>
      </c>
      <c r="B3" s="4" t="s">
        <v>236</v>
      </c>
      <c r="C3" s="6" t="n">
        <f aca="false">COUNTIF(F3:K3,10)</f>
        <v>2</v>
      </c>
      <c r="D3" s="6" t="n">
        <f aca="false">COUNTIF(M3:R3,10)</f>
        <v>3</v>
      </c>
      <c r="E3" s="7" t="n">
        <f aca="false">C3/(C3+D3)</f>
        <v>0.4</v>
      </c>
      <c r="F3" s="6" t="n">
        <v>10</v>
      </c>
      <c r="G3" s="6" t="n">
        <v>8</v>
      </c>
      <c r="H3" s="6" t="n">
        <v>10</v>
      </c>
      <c r="I3" s="6" t="n">
        <v>8</v>
      </c>
      <c r="J3" s="6" t="n">
        <v>7</v>
      </c>
      <c r="K3" s="6" t="s">
        <v>131</v>
      </c>
      <c r="L3" s="6" t="n">
        <f aca="false">SUM(F3:K3)</f>
        <v>43</v>
      </c>
      <c r="M3" s="6" t="n">
        <v>9</v>
      </c>
      <c r="N3" s="6" t="n">
        <v>10</v>
      </c>
      <c r="O3" s="6" t="n">
        <v>6</v>
      </c>
      <c r="P3" s="6" t="n">
        <v>10</v>
      </c>
      <c r="Q3" s="6" t="n">
        <v>10</v>
      </c>
      <c r="R3" s="6" t="s">
        <v>131</v>
      </c>
      <c r="S3" s="6" t="n">
        <f aca="false">SUM(M3:R3)</f>
        <v>45</v>
      </c>
      <c r="T3" s="7" t="n">
        <f aca="false">L3/(L3+S3)</f>
        <v>0.488636363636364</v>
      </c>
    </row>
    <row r="4" customFormat="false" ht="12.8" hidden="false" customHeight="false" outlineLevel="0" collapsed="false">
      <c r="A4" s="1" t="s">
        <v>227</v>
      </c>
      <c r="B4" s="4" t="s">
        <v>228</v>
      </c>
      <c r="C4" s="6" t="n">
        <f aca="false">COUNTIF(F4:K4,10)</f>
        <v>1</v>
      </c>
      <c r="D4" s="6" t="n">
        <f aca="false">COUNTIF(M4:R4,10)</f>
        <v>2</v>
      </c>
      <c r="E4" s="7" t="n">
        <f aca="false">C4/(C4+D4)</f>
        <v>0.333333333333333</v>
      </c>
      <c r="F4" s="6" t="n">
        <v>9</v>
      </c>
      <c r="G4" s="6" t="n">
        <v>10</v>
      </c>
      <c r="H4" s="6" t="n">
        <v>6</v>
      </c>
      <c r="I4" s="6" t="s">
        <v>131</v>
      </c>
      <c r="J4" s="6" t="s">
        <v>131</v>
      </c>
      <c r="K4" s="6" t="s">
        <v>131</v>
      </c>
      <c r="L4" s="6" t="n">
        <f aca="false">SUM(F4:K4)</f>
        <v>25</v>
      </c>
      <c r="M4" s="6" t="n">
        <v>10</v>
      </c>
      <c r="N4" s="6" t="n">
        <v>8</v>
      </c>
      <c r="O4" s="6" t="n">
        <v>10</v>
      </c>
      <c r="P4" s="6" t="s">
        <v>131</v>
      </c>
      <c r="Q4" s="6" t="s">
        <v>131</v>
      </c>
      <c r="R4" s="6" t="s">
        <v>131</v>
      </c>
      <c r="S4" s="6" t="n">
        <f aca="false">SUM(M4:R4)</f>
        <v>28</v>
      </c>
      <c r="T4" s="7" t="n">
        <f aca="false">L4/(L4+S4)</f>
        <v>0.471698113207547</v>
      </c>
    </row>
    <row r="5" customFormat="false" ht="12.8" hidden="false" customHeight="false" outlineLevel="0" collapsed="false">
      <c r="A5" s="1" t="s">
        <v>215</v>
      </c>
      <c r="B5" s="4" t="s">
        <v>216</v>
      </c>
      <c r="C5" s="6" t="n">
        <f aca="false">COUNTIF(F5:K5,10)</f>
        <v>1</v>
      </c>
      <c r="D5" s="6" t="n">
        <f aca="false">COUNTIF(M5:R5,10)</f>
        <v>2</v>
      </c>
      <c r="E5" s="7" t="n">
        <f aca="false">C5/(C5+D5)</f>
        <v>0.333333333333333</v>
      </c>
      <c r="F5" s="6" t="n">
        <v>10</v>
      </c>
      <c r="G5" s="6" t="n">
        <v>8</v>
      </c>
      <c r="H5" s="6" t="n">
        <v>2</v>
      </c>
      <c r="I5" s="6" t="s">
        <v>131</v>
      </c>
      <c r="J5" s="6" t="s">
        <v>131</v>
      </c>
      <c r="K5" s="6" t="s">
        <v>131</v>
      </c>
      <c r="L5" s="6" t="n">
        <f aca="false">SUM(F5:K5)</f>
        <v>20</v>
      </c>
      <c r="M5" s="6" t="n">
        <v>5</v>
      </c>
      <c r="N5" s="6" t="n">
        <v>10</v>
      </c>
      <c r="O5" s="6" t="n">
        <v>10</v>
      </c>
      <c r="P5" s="6" t="s">
        <v>131</v>
      </c>
      <c r="Q5" s="6" t="s">
        <v>131</v>
      </c>
      <c r="R5" s="6" t="s">
        <v>131</v>
      </c>
      <c r="S5" s="6" t="n">
        <f aca="false">SUM(M5:R5)</f>
        <v>25</v>
      </c>
      <c r="T5" s="7" t="n">
        <f aca="false">L5/(L5+S5)</f>
        <v>0.444444444444444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15"/>
    <col collapsed="false" customWidth="true" hidden="false" outlineLevel="0" max="2" min="2" style="1" width="8.87"/>
    <col collapsed="false" customWidth="true" hidden="false" outlineLevel="0" max="3" min="3" style="4" width="24.77"/>
    <col collapsed="false" customWidth="true" hidden="false" outlineLevel="0" max="6" min="6" style="5" width="12.04"/>
    <col collapsed="false" customWidth="true" hidden="false" outlineLevel="0" max="7" min="7" style="5" width="11.25"/>
    <col collapsed="false" customWidth="true" hidden="false" outlineLevel="0" max="8" min="8" style="10" width="10.75"/>
  </cols>
  <sheetData>
    <row r="1" customFormat="false" ht="12.8" hidden="false" customHeight="false" outlineLevel="0" collapsed="false">
      <c r="A1" s="2" t="s">
        <v>245</v>
      </c>
      <c r="B1" s="2" t="s">
        <v>142</v>
      </c>
      <c r="C1" s="3" t="s">
        <v>212</v>
      </c>
      <c r="D1" s="3" t="s">
        <v>111</v>
      </c>
      <c r="E1" s="3" t="s">
        <v>130</v>
      </c>
      <c r="F1" s="3" t="s">
        <v>246</v>
      </c>
      <c r="G1" s="3" t="s">
        <v>247</v>
      </c>
      <c r="H1" s="8" t="s">
        <v>248</v>
      </c>
    </row>
    <row r="2" customFormat="false" ht="12.8" hidden="false" customHeight="false" outlineLevel="0" collapsed="false">
      <c r="A2" s="1" t="n">
        <v>1</v>
      </c>
      <c r="B2" s="5" t="s">
        <v>243</v>
      </c>
      <c r="C2" s="5" t="s">
        <v>244</v>
      </c>
      <c r="D2" s="5" t="n">
        <v>0.75</v>
      </c>
      <c r="E2" s="5" t="n">
        <v>0.57</v>
      </c>
      <c r="F2" s="5" t="n">
        <v>2</v>
      </c>
      <c r="G2" s="5" t="n">
        <v>0.8</v>
      </c>
      <c r="H2" s="10" t="n">
        <v>0.563</v>
      </c>
    </row>
    <row r="3" customFormat="false" ht="12.8" hidden="false" customHeight="false" outlineLevel="0" collapsed="false">
      <c r="A3" s="1" t="n">
        <v>2</v>
      </c>
      <c r="B3" s="5" t="s">
        <v>235</v>
      </c>
      <c r="C3" s="5" t="s">
        <v>236</v>
      </c>
      <c r="D3" s="5" t="n">
        <v>0.75</v>
      </c>
      <c r="E3" s="5" t="n">
        <v>0.616</v>
      </c>
      <c r="F3" s="5" t="n">
        <v>1</v>
      </c>
      <c r="G3" s="5" t="n">
        <v>0.4</v>
      </c>
      <c r="H3" s="10" t="n">
        <v>0.489</v>
      </c>
    </row>
    <row r="4" customFormat="false" ht="12.8" hidden="false" customHeight="false" outlineLevel="0" collapsed="false">
      <c r="A4" s="1" t="n">
        <v>3</v>
      </c>
      <c r="B4" s="5" t="s">
        <v>227</v>
      </c>
      <c r="C4" s="5" t="s">
        <v>228</v>
      </c>
      <c r="D4" s="5" t="n">
        <v>0.875</v>
      </c>
      <c r="E4" s="5" t="n">
        <v>0.603</v>
      </c>
      <c r="F4" s="5" t="n">
        <v>0</v>
      </c>
      <c r="G4" s="5" t="n">
        <v>0.333</v>
      </c>
      <c r="H4" s="10" t="n">
        <v>0.472</v>
      </c>
    </row>
    <row r="5" customFormat="false" ht="12.8" hidden="false" customHeight="false" outlineLevel="0" collapsed="false">
      <c r="A5" s="1" t="n">
        <v>4</v>
      </c>
      <c r="B5" s="5" t="s">
        <v>215</v>
      </c>
      <c r="C5" s="5" t="s">
        <v>216</v>
      </c>
      <c r="D5" s="5" t="n">
        <v>0.875</v>
      </c>
      <c r="E5" s="5" t="n">
        <v>0.605</v>
      </c>
      <c r="F5" s="5" t="n">
        <v>0</v>
      </c>
      <c r="G5" s="5" t="n">
        <v>0.333</v>
      </c>
      <c r="H5" s="10" t="n">
        <v>0.444</v>
      </c>
    </row>
    <row r="6" customFormat="false" ht="12.8" hidden="false" customHeight="false" outlineLevel="0" collapsed="false">
      <c r="A6" s="1" t="n">
        <v>5</v>
      </c>
      <c r="B6" s="5" t="s">
        <v>233</v>
      </c>
      <c r="C6" s="5" t="s">
        <v>234</v>
      </c>
      <c r="D6" s="5" t="n">
        <v>0.625</v>
      </c>
      <c r="E6" s="5" t="n">
        <v>0.519</v>
      </c>
    </row>
    <row r="7" customFormat="false" ht="12.8" hidden="false" customHeight="false" outlineLevel="0" collapsed="false">
      <c r="A7" s="1" t="n">
        <v>6</v>
      </c>
      <c r="B7" s="5" t="s">
        <v>231</v>
      </c>
      <c r="C7" s="5" t="s">
        <v>232</v>
      </c>
      <c r="D7" s="5" t="n">
        <v>0.5</v>
      </c>
      <c r="E7" s="5" t="n">
        <v>0.512</v>
      </c>
    </row>
    <row r="8" customFormat="false" ht="12.8" hidden="false" customHeight="false" outlineLevel="0" collapsed="false">
      <c r="A8" s="1" t="n">
        <v>7</v>
      </c>
      <c r="B8" s="5" t="s">
        <v>213</v>
      </c>
      <c r="C8" s="5" t="s">
        <v>214</v>
      </c>
      <c r="D8" s="5" t="n">
        <v>0.5</v>
      </c>
      <c r="E8" s="5" t="n">
        <v>0.504</v>
      </c>
    </row>
    <row r="9" customFormat="false" ht="12.8" hidden="false" customHeight="false" outlineLevel="0" collapsed="false">
      <c r="A9" s="1" t="n">
        <v>8</v>
      </c>
      <c r="B9" s="5" t="s">
        <v>241</v>
      </c>
      <c r="C9" s="5" t="s">
        <v>242</v>
      </c>
      <c r="D9" s="5" t="n">
        <v>0.5</v>
      </c>
      <c r="E9" s="5" t="n">
        <v>0.437</v>
      </c>
    </row>
    <row r="10" customFormat="false" ht="12.8" hidden="false" customHeight="false" outlineLevel="0" collapsed="false">
      <c r="A10" s="1" t="n">
        <v>9</v>
      </c>
      <c r="B10" s="5" t="s">
        <v>229</v>
      </c>
      <c r="C10" s="5" t="s">
        <v>230</v>
      </c>
      <c r="D10" s="5" t="n">
        <v>0.375</v>
      </c>
      <c r="E10" s="5" t="n">
        <v>0.553</v>
      </c>
    </row>
    <row r="11" customFormat="false" ht="12.8" hidden="false" customHeight="false" outlineLevel="0" collapsed="false">
      <c r="A11" s="1" t="n">
        <v>10</v>
      </c>
      <c r="B11" s="5" t="s">
        <v>221</v>
      </c>
      <c r="C11" s="5" t="s">
        <v>222</v>
      </c>
      <c r="D11" s="5" t="n">
        <v>0.375</v>
      </c>
      <c r="E11" s="5" t="n">
        <v>0.465</v>
      </c>
    </row>
    <row r="12" customFormat="false" ht="12.8" hidden="false" customHeight="false" outlineLevel="0" collapsed="false">
      <c r="A12" s="1" t="n">
        <v>11</v>
      </c>
      <c r="B12" s="5" t="s">
        <v>223</v>
      </c>
      <c r="C12" s="5" t="s">
        <v>224</v>
      </c>
      <c r="D12" s="5" t="n">
        <v>0.375</v>
      </c>
      <c r="E12" s="5" t="n">
        <v>0.459</v>
      </c>
    </row>
    <row r="13" customFormat="false" ht="12.8" hidden="false" customHeight="false" outlineLevel="0" collapsed="false">
      <c r="A13" s="1" t="n">
        <v>12</v>
      </c>
      <c r="B13" s="5" t="s">
        <v>237</v>
      </c>
      <c r="C13" s="5" t="s">
        <v>238</v>
      </c>
      <c r="D13" s="5" t="n">
        <v>0.375</v>
      </c>
      <c r="E13" s="5" t="n">
        <v>0.457</v>
      </c>
    </row>
    <row r="14" customFormat="false" ht="12.8" hidden="false" customHeight="false" outlineLevel="0" collapsed="false">
      <c r="A14" s="1" t="n">
        <v>13</v>
      </c>
      <c r="B14" s="5" t="s">
        <v>225</v>
      </c>
      <c r="C14" s="5" t="s">
        <v>226</v>
      </c>
      <c r="D14" s="5" t="n">
        <v>0.375</v>
      </c>
      <c r="E14" s="5" t="n">
        <v>0.431</v>
      </c>
    </row>
    <row r="15" customFormat="false" ht="12.8" hidden="false" customHeight="false" outlineLevel="0" collapsed="false">
      <c r="A15" s="1" t="n">
        <v>14</v>
      </c>
      <c r="B15" s="5" t="s">
        <v>217</v>
      </c>
      <c r="C15" s="5" t="s">
        <v>218</v>
      </c>
      <c r="D15" s="5" t="n">
        <v>0.25</v>
      </c>
      <c r="E15" s="5" t="n">
        <v>0.444</v>
      </c>
    </row>
    <row r="16" customFormat="false" ht="12.8" hidden="false" customHeight="false" outlineLevel="0" collapsed="false">
      <c r="A16" s="1" t="n">
        <v>15</v>
      </c>
      <c r="B16" s="5" t="s">
        <v>239</v>
      </c>
      <c r="C16" s="5" t="s">
        <v>240</v>
      </c>
      <c r="D16" s="5" t="n">
        <v>0.25</v>
      </c>
      <c r="E16" s="5" t="n">
        <v>0.424</v>
      </c>
    </row>
    <row r="17" customFormat="false" ht="12.8" hidden="false" customHeight="false" outlineLevel="0" collapsed="false">
      <c r="A17" s="1" t="n">
        <v>16</v>
      </c>
      <c r="B17" s="5" t="s">
        <v>219</v>
      </c>
      <c r="C17" s="5" t="s">
        <v>220</v>
      </c>
      <c r="D17" s="5" t="n">
        <v>0.25</v>
      </c>
      <c r="E17" s="5" t="n">
        <v>0.411</v>
      </c>
    </row>
    <row r="19" customFormat="false" ht="12.8" hidden="false" customHeight="false" outlineLevel="0" collapsed="false">
      <c r="B19" s="5"/>
      <c r="C19" s="5"/>
    </row>
    <row r="20" customFormat="false" ht="12.8" hidden="false" customHeight="false" outlineLevel="0" collapsed="false">
      <c r="B20" s="5"/>
      <c r="C20" s="5"/>
    </row>
    <row r="21" customFormat="false" ht="12.8" hidden="false" customHeight="false" outlineLevel="0" collapsed="false">
      <c r="B21" s="5"/>
      <c r="C21" s="5"/>
    </row>
    <row r="22" customFormat="false" ht="12.8" hidden="false" customHeight="false" outlineLevel="0" collapsed="false">
      <c r="B22" s="5"/>
      <c r="C22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2026-08-24T11:01:38Z</dcterms:created>
  <dc:creator/>
  <dc:description/>
  <dc:language>en-US</dc:language>
  <cp:lastModifiedBy/>
  <dcterms:modified xsi:type="dcterms:W3CDTF">2026-09-02T14:48:54Z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