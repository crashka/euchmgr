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-Seed Draw" sheetId="1" state="visible" r:id="rId3"/>
    <sheet name="2-Seed Bracket" sheetId="2" state="visible" r:id="rId4"/>
    <sheet name="3-Seed Scores" sheetId="3" state="visible" r:id="rId5"/>
    <sheet name="4-Seed Results" sheetId="4" state="visible" r:id="rId6"/>
    <sheet name="5-Team Pairings" sheetId="5" state="visible" r:id="rId7"/>
    <sheet name="6-Team Bracket" sheetId="6" state="visible" r:id="rId8"/>
    <sheet name="7-Team Scores" sheetId="7" state="visible" r:id="rId9"/>
    <sheet name="8-Playoff Scores" sheetId="8" state="visible" r:id="rId10"/>
    <sheet name="9-Final Result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7" authorId="0">
      <text>
        <r>
          <rPr>
            <sz val="10"/>
            <rFont val="Arial"/>
            <family val="2"/>
          </rPr>
          <t xml:space="preserve">Changed to 5 from 9, based on other player scores</t>
        </r>
      </text>
    </comment>
    <comment ref="N17" authorId="0">
      <text>
        <r>
          <rPr>
            <sz val="10"/>
            <rFont val="Arial"/>
            <family val="2"/>
          </rPr>
          <t xml:space="preserve">Changed to 66 from 70, based on correction to round 2 score</t>
        </r>
      </text>
    </comment>
    <comment ref="Q17" authorId="0">
      <text>
        <r>
          <rPr>
            <sz val="10"/>
            <rFont val="Arial"/>
            <family val="2"/>
          </rPr>
          <t xml:space="preserve">Changed to 10 from 0, based on other player scores</t>
        </r>
      </text>
    </comment>
    <comment ref="R39" authorId="0">
      <text>
        <r>
          <rPr>
            <sz val="10"/>
            <rFont val="Arial"/>
            <family val="2"/>
          </rPr>
          <t xml:space="preserve">Changed to 10 from 5, based on other player scores</t>
        </r>
      </text>
    </comment>
    <comment ref="W17" authorId="0">
      <text>
        <r>
          <rPr>
            <sz val="10"/>
            <rFont val="Arial"/>
            <family val="2"/>
          </rPr>
          <t xml:space="preserve">Changed to 63 from 53, based on correction to round 3 score</t>
        </r>
      </text>
    </comment>
    <comment ref="W28" authorId="0">
      <text>
        <r>
          <rPr>
            <sz val="10"/>
            <rFont val="Arial"/>
            <family val="2"/>
          </rPr>
          <t xml:space="preserve">Changed to 55 from 65 (bad math)</t>
        </r>
      </text>
    </comment>
    <comment ref="W39" authorId="0">
      <text>
        <r>
          <rPr>
            <sz val="10"/>
            <rFont val="Arial"/>
            <family val="2"/>
          </rPr>
          <t xml:space="preserve">Changed to 57 from 52 based on correction to round 4 score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6" authorId="0">
      <text>
        <r>
          <rPr>
            <sz val="10"/>
            <rFont val="Arial"/>
            <family val="2"/>
          </rPr>
          <t xml:space="preserve">Changed to 55 from 54 (math error)</t>
        </r>
      </text>
    </comment>
  </commentList>
</comments>
</file>

<file path=xl/sharedStrings.xml><?xml version="1.0" encoding="utf-8"?>
<sst xmlns="http://schemas.openxmlformats.org/spreadsheetml/2006/main" count="661" uniqueCount="318">
  <si>
    <t xml:space="preserve">Num</t>
  </si>
  <si>
    <t xml:space="preserve">Player</t>
  </si>
  <si>
    <t xml:space="preserve">Champ</t>
  </si>
  <si>
    <t xml:space="preserve">O’Leary</t>
  </si>
  <si>
    <t xml:space="preserve">n</t>
  </si>
  <si>
    <t xml:space="preserve">Kong</t>
  </si>
  <si>
    <t xml:space="preserve">Struble</t>
  </si>
  <si>
    <t xml:space="preserve">Kramer</t>
  </si>
  <si>
    <t xml:space="preserve">Crash</t>
  </si>
  <si>
    <t xml:space="preserve">Leibly</t>
  </si>
  <si>
    <t xml:space="preserve">Virgilio</t>
  </si>
  <si>
    <t xml:space="preserve">West</t>
  </si>
  <si>
    <t xml:space="preserve">Aviv</t>
  </si>
  <si>
    <t xml:space="preserve">Watkins</t>
  </si>
  <si>
    <t xml:space="preserve">Della Grotte</t>
  </si>
  <si>
    <t xml:space="preserve">y</t>
  </si>
  <si>
    <t xml:space="preserve">DeWitt</t>
  </si>
  <si>
    <t xml:space="preserve">Bocci</t>
  </si>
  <si>
    <t xml:space="preserve">Mentle</t>
  </si>
  <si>
    <t xml:space="preserve">Heitner</t>
  </si>
  <si>
    <t xml:space="preserve">Lineman</t>
  </si>
  <si>
    <t xml:space="preserve">Harris</t>
  </si>
  <si>
    <t xml:space="preserve">Cureton</t>
  </si>
  <si>
    <t xml:space="preserve">Chess</t>
  </si>
  <si>
    <t xml:space="preserve">Cooper</t>
  </si>
  <si>
    <t xml:space="preserve">Rechtin</t>
  </si>
  <si>
    <t xml:space="preserve">Fields</t>
  </si>
  <si>
    <t xml:space="preserve">Shutts</t>
  </si>
  <si>
    <t xml:space="preserve">Obst</t>
  </si>
  <si>
    <t xml:space="preserve">House</t>
  </si>
  <si>
    <t xml:space="preserve">Scruggs</t>
  </si>
  <si>
    <t xml:space="preserve">Ponzio</t>
  </si>
  <si>
    <t xml:space="preserve">Frankel</t>
  </si>
  <si>
    <t xml:space="preserve">Springo</t>
  </si>
  <si>
    <t xml:space="preserve">Latt</t>
  </si>
  <si>
    <t xml:space="preserve">DiPesa</t>
  </si>
  <si>
    <t xml:space="preserve">Romeo</t>
  </si>
  <si>
    <t xml:space="preserve">Chesty</t>
  </si>
  <si>
    <t xml:space="preserve">Abs</t>
  </si>
  <si>
    <t xml:space="preserve">Spike</t>
  </si>
  <si>
    <t xml:space="preserve">Hauer</t>
  </si>
  <si>
    <t xml:space="preserve">Rooze</t>
  </si>
  <si>
    <t xml:space="preserve">Chisholm</t>
  </si>
  <si>
    <t xml:space="preserve">Wee</t>
  </si>
  <si>
    <t xml:space="preserve">Pound</t>
  </si>
  <si>
    <t xml:space="preserve">Silberberg</t>
  </si>
  <si>
    <t xml:space="preserve">Tex</t>
  </si>
  <si>
    <t xml:space="preserve">Round</t>
  </si>
  <si>
    <t xml:space="preserve">Table 1</t>
  </si>
  <si>
    <t xml:space="preserve">Table 2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</si>
  <si>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</si>
  <si>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</si>
  <si>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</si>
  <si>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</si>
  <si>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</si>
  <si>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</si>
  <si>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Table 9</t>
  </si>
  <si>
    <t xml:space="preserve">Table 10</t>
  </si>
  <si>
    <t xml:space="preserve">Bye</t>
  </si>
  <si>
    <t xml:space="preserve">1,3,5,11</t>
  </si>
  <si>
    <t xml:space="preserve">6,9,16,34</t>
  </si>
  <si>
    <t xml:space="preserve">2,19,22,23</t>
  </si>
  <si>
    <t xml:space="preserve">4,21,24,42</t>
  </si>
  <si>
    <t xml:space="preserve">7,15,31,40</t>
  </si>
  <si>
    <t xml:space="preserve">10,12,30,33</t>
  </si>
  <si>
    <t xml:space="preserve">35,36,39,41</t>
  </si>
  <si>
    <t xml:space="preserve">13,17,27,28</t>
  </si>
  <si>
    <t xml:space="preserve">14,18,25,29</t>
  </si>
  <si>
    <t xml:space="preserve">26,32,37,38</t>
  </si>
  <si>
    <t xml:space="preserve">8,20</t>
  </si>
  <si>
    <t xml:space="preserve">1,2,4,7</t>
  </si>
  <si>
    <t xml:space="preserve">3,6,17,39</t>
  </si>
  <si>
    <t xml:space="preserve">5,8,9,10</t>
  </si>
  <si>
    <t xml:space="preserve">18,21,26,30</t>
  </si>
  <si>
    <t xml:space="preserve">11,20,40,42</t>
  </si>
  <si>
    <t xml:space="preserve">16,22,28,35</t>
  </si>
  <si>
    <t xml:space="preserve">13,33,34,36</t>
  </si>
  <si>
    <t xml:space="preserve">15,19,27,29</t>
  </si>
  <si>
    <t xml:space="preserve">12,23,24,32</t>
  </si>
  <si>
    <t xml:space="preserve">25,31,37,41</t>
  </si>
  <si>
    <t xml:space="preserve">14,38</t>
  </si>
  <si>
    <t xml:space="preserve">1,8,15,26</t>
  </si>
  <si>
    <t xml:space="preserve">3,4,9,41</t>
  </si>
  <si>
    <t xml:space="preserve">5,7,29,39</t>
  </si>
  <si>
    <t xml:space="preserve">2,10,24,28</t>
  </si>
  <si>
    <t xml:space="preserve">16,17,20,32</t>
  </si>
  <si>
    <t xml:space="preserve">6,12,14,42</t>
  </si>
  <si>
    <t xml:space="preserve">11,19,21,33</t>
  </si>
  <si>
    <t xml:space="preserve">22,25,34,38</t>
  </si>
  <si>
    <t xml:space="preserve">27,30,36,40</t>
  </si>
  <si>
    <t xml:space="preserve">13,18,31,35</t>
  </si>
  <si>
    <t xml:space="preserve">23,37</t>
  </si>
  <si>
    <t xml:space="preserve">1,10,16,39</t>
  </si>
  <si>
    <t xml:space="preserve">2,6,38,41</t>
  </si>
  <si>
    <t xml:space="preserve">9,13,21,40</t>
  </si>
  <si>
    <t xml:space="preserve">5,20,23,26</t>
  </si>
  <si>
    <t xml:space="preserve">3,8,33,42</t>
  </si>
  <si>
    <t xml:space="preserve">4,25,28,30</t>
  </si>
  <si>
    <t xml:space="preserve">14,15,17,34</t>
  </si>
  <si>
    <t xml:space="preserve">7,12,18,19</t>
  </si>
  <si>
    <t xml:space="preserve">24,29,35,37</t>
  </si>
  <si>
    <t xml:space="preserve">11,31,32,36</t>
  </si>
  <si>
    <t xml:space="preserve">22,27</t>
  </si>
  <si>
    <t xml:space="preserve">3,10,21,22</t>
  </si>
  <si>
    <t xml:space="preserve">1,6,19,30</t>
  </si>
  <si>
    <t xml:space="preserve">5,28,37,40</t>
  </si>
  <si>
    <t xml:space="preserve">2,8,11,13</t>
  </si>
  <si>
    <t xml:space="preserve">4,18,20,39</t>
  </si>
  <si>
    <t xml:space="preserve">12,26,31,34</t>
  </si>
  <si>
    <t xml:space="preserve">7,14,23,35</t>
  </si>
  <si>
    <t xml:space="preserve">15,16,41,42</t>
  </si>
  <si>
    <t xml:space="preserve">25,27,32,33</t>
  </si>
  <si>
    <t xml:space="preserve">9,17,24,38</t>
  </si>
  <si>
    <t xml:space="preserve">29,36</t>
  </si>
  <si>
    <t xml:space="preserve">1,9,18,42</t>
  </si>
  <si>
    <t xml:space="preserve">3,7,27,37</t>
  </si>
  <si>
    <t xml:space="preserve">6,20,28,29</t>
  </si>
  <si>
    <t xml:space="preserve">2,12,39,40</t>
  </si>
  <si>
    <t xml:space="preserve">5,22,24,36</t>
  </si>
  <si>
    <t xml:space="preserve">4,10,11,14</t>
  </si>
  <si>
    <t xml:space="preserve">17,26,33,35</t>
  </si>
  <si>
    <t xml:space="preserve">8,21,31,38</t>
  </si>
  <si>
    <t xml:space="preserve">13,16,23,30</t>
  </si>
  <si>
    <t xml:space="preserve">19,32,34,41</t>
  </si>
  <si>
    <t xml:space="preserve">15,25</t>
  </si>
  <si>
    <t xml:space="preserve">4,5,6,32</t>
  </si>
  <si>
    <t xml:space="preserve">7,10,26,42</t>
  </si>
  <si>
    <t xml:space="preserve">1,14,28,33</t>
  </si>
  <si>
    <t xml:space="preserve">2,16,27,31</t>
  </si>
  <si>
    <t xml:space="preserve">3,13,20,38</t>
  </si>
  <si>
    <t xml:space="preserve">9,19,37,39</t>
  </si>
  <si>
    <t xml:space="preserve">11,29,30,34</t>
  </si>
  <si>
    <t xml:space="preserve">17,23,25,36</t>
  </si>
  <si>
    <t xml:space="preserve">8,18,22,40</t>
  </si>
  <si>
    <t xml:space="preserve">12,15,21,35</t>
  </si>
  <si>
    <t xml:space="preserve">24,41</t>
  </si>
  <si>
    <t xml:space="preserve">4,13,22,26</t>
  </si>
  <si>
    <t xml:space="preserve">1,12,20,37</t>
  </si>
  <si>
    <t xml:space="preserve">5,16,33,38</t>
  </si>
  <si>
    <t xml:space="preserve">3,19,24,31</t>
  </si>
  <si>
    <t xml:space="preserve">2,14,30,32</t>
  </si>
  <si>
    <t xml:space="preserve">6,8,27,35</t>
  </si>
  <si>
    <t xml:space="preserve">7,9,11,25</t>
  </si>
  <si>
    <t xml:space="preserve">10,23,34,40</t>
  </si>
  <si>
    <t xml:space="preserve">15,18,28,36</t>
  </si>
  <si>
    <t xml:space="preserve">17,21,29,41</t>
  </si>
  <si>
    <t xml:space="preserve">39,42</t>
  </si>
  <si>
    <t xml:space="preserve">Wins</t>
  </si>
  <si>
    <t xml:space="preserve">Losses</t>
  </si>
  <si>
    <t xml:space="preserve">Win Pct</t>
  </si>
  <si>
    <t xml:space="preserve">PF1</t>
  </si>
  <si>
    <t xml:space="preserve">PF2</t>
  </si>
  <si>
    <t xml:space="preserve">PF3</t>
  </si>
  <si>
    <t xml:space="preserve">PF4</t>
  </si>
  <si>
    <t xml:space="preserve">PF5</t>
  </si>
  <si>
    <t xml:space="preserve">PF6</t>
  </si>
  <si>
    <t xml:space="preserve">PF7</t>
  </si>
  <si>
    <t xml:space="preserve">PF8</t>
  </si>
  <si>
    <t xml:space="preserve">PF Total</t>
  </si>
  <si>
    <t xml:space="preserve">PA1</t>
  </si>
  <si>
    <t xml:space="preserve">PA2</t>
  </si>
  <si>
    <t xml:space="preserve">PA3</t>
  </si>
  <si>
    <t xml:space="preserve">PA4</t>
  </si>
  <si>
    <t xml:space="preserve">PA5</t>
  </si>
  <si>
    <t xml:space="preserve">PA6</t>
  </si>
  <si>
    <t xml:space="preserve">PA7</t>
  </si>
  <si>
    <t xml:space="preserve">PA8</t>
  </si>
  <si>
    <t xml:space="preserve">PA Total</t>
  </si>
  <si>
    <t xml:space="preserve">Pts Pct</t>
  </si>
  <si>
    <t xml:space="preserve">-</t>
  </si>
  <si>
    <t xml:space="preserve">- </t>
  </si>
  <si>
    <t xml:space="preserve">Anomalies (highlighted above)</t>
  </si>
  <si>
    <t xml:space="preserve">Round 7 - table 4 (players 2, 16, 27, 31) – amended to 10-7 (for team 1)</t>
  </si>
  <si>
    <t xml:space="preserve">Round 7 – table 10 (players 12, 15, 21, 35) – amended to 10-4 (for team 2)</t>
  </si>
  <si>
    <t xml:space="preserve">Rank</t>
  </si>
  <si>
    <t xml:space="preserve">Team Num</t>
  </si>
  <si>
    <t xml:space="preserve">Player 1</t>
  </si>
  <si>
    <t xml:space="preserve">Rank 1</t>
  </si>
  <si>
    <t xml:space="preserve">Player 2</t>
  </si>
  <si>
    <t xml:space="preserve">Rank 2</t>
  </si>
  <si>
    <t xml:space="preserve">Comb Rank</t>
  </si>
  <si>
    <t xml:space="preserve">Team Seed</t>
  </si>
  <si>
    <t xml:space="preserve">Div Seed</t>
  </si>
  <si>
    <t xml:space="preserve">Div</t>
  </si>
  <si>
    <t xml:space="preserve">Team ID</t>
  </si>
  <si>
    <t xml:space="preserve">Team Name</t>
  </si>
  <si>
    <t xml:space="preserve">A</t>
  </si>
  <si>
    <t xml:space="preserve">B</t>
  </si>
  <si>
    <t xml:space="preserve">Della Grotte / House</t>
  </si>
  <si>
    <t xml:space="preserve">37/39</t>
  </si>
  <si>
    <t xml:space="preserve">Ponzio / Fields</t>
  </si>
  <si>
    <t xml:space="preserve">34/35</t>
  </si>
  <si>
    <t xml:space="preserve">8A,10A</t>
  </si>
  <si>
    <t xml:space="preserve">1A,3A</t>
  </si>
  <si>
    <t xml:space="preserve">2A,5A</t>
  </si>
  <si>
    <t xml:space="preserve">7A,9A</t>
  </si>
  <si>
    <t xml:space="preserve">4A,6A</t>
  </si>
  <si>
    <t xml:space="preserve">8B,10B</t>
  </si>
  <si>
    <t xml:space="preserve">1B,3B</t>
  </si>
  <si>
    <t xml:space="preserve">2B,5B</t>
  </si>
  <si>
    <t xml:space="preserve">7B,9B</t>
  </si>
  <si>
    <t xml:space="preserve">4B,6B</t>
  </si>
  <si>
    <t xml:space="preserve">8A,9A</t>
  </si>
  <si>
    <t xml:space="preserve">2A,6A</t>
  </si>
  <si>
    <t xml:space="preserve">7A,10A</t>
  </si>
  <si>
    <t xml:space="preserve">3A,5A</t>
  </si>
  <si>
    <t xml:space="preserve">1A,4A</t>
  </si>
  <si>
    <t xml:space="preserve">8B,9B</t>
  </si>
  <si>
    <t xml:space="preserve">2B,6B</t>
  </si>
  <si>
    <t xml:space="preserve">7B,10B</t>
  </si>
  <si>
    <t xml:space="preserve">3B,5B</t>
  </si>
  <si>
    <t xml:space="preserve">1B,4B</t>
  </si>
  <si>
    <t xml:space="preserve">2A,9A</t>
  </si>
  <si>
    <t xml:space="preserve">4A,5A</t>
  </si>
  <si>
    <t xml:space="preserve">6A,8A</t>
  </si>
  <si>
    <t xml:space="preserve">1A,7A</t>
  </si>
  <si>
    <t xml:space="preserve">3A,10A</t>
  </si>
  <si>
    <t xml:space="preserve">2B,9B</t>
  </si>
  <si>
    <t xml:space="preserve">4B,5B</t>
  </si>
  <si>
    <t xml:space="preserve">6B,8B</t>
  </si>
  <si>
    <t xml:space="preserve">1B,7B</t>
  </si>
  <si>
    <t xml:space="preserve">3B,10B</t>
  </si>
  <si>
    <t xml:space="preserve">3A,6A</t>
  </si>
  <si>
    <t xml:space="preserve">4A,8A</t>
  </si>
  <si>
    <t xml:space="preserve">2A,7A</t>
  </si>
  <si>
    <t xml:space="preserve">5A,10A</t>
  </si>
  <si>
    <t xml:space="preserve">1A,9A</t>
  </si>
  <si>
    <t xml:space="preserve">3B,6B</t>
  </si>
  <si>
    <t xml:space="preserve">4B,8B</t>
  </si>
  <si>
    <t xml:space="preserve">2B,7B</t>
  </si>
  <si>
    <t xml:space="preserve">5B,10B</t>
  </si>
  <si>
    <t xml:space="preserve">1B,9B</t>
  </si>
  <si>
    <t xml:space="preserve">3A,7A</t>
  </si>
  <si>
    <t xml:space="preserve">2A,10A</t>
  </si>
  <si>
    <t xml:space="preserve">5A,8A</t>
  </si>
  <si>
    <t xml:space="preserve">4A,9A</t>
  </si>
  <si>
    <t xml:space="preserve">1A,6A</t>
  </si>
  <si>
    <t xml:space="preserve">3B,7B</t>
  </si>
  <si>
    <t xml:space="preserve">2B,10B</t>
  </si>
  <si>
    <t xml:space="preserve">5B,8B</t>
  </si>
  <si>
    <t xml:space="preserve">4B,9B</t>
  </si>
  <si>
    <t xml:space="preserve">1B,6B</t>
  </si>
  <si>
    <t xml:space="preserve">1A,8A</t>
  </si>
  <si>
    <t xml:space="preserve">4A,10A</t>
  </si>
  <si>
    <t xml:space="preserve">2A,3A</t>
  </si>
  <si>
    <t xml:space="preserve">5A,7A</t>
  </si>
  <si>
    <t xml:space="preserve">6A,9A</t>
  </si>
  <si>
    <t xml:space="preserve">1B,8B</t>
  </si>
  <si>
    <t xml:space="preserve">4B,10B</t>
  </si>
  <si>
    <t xml:space="preserve">2B,3B</t>
  </si>
  <si>
    <t xml:space="preserve">5B,7B</t>
  </si>
  <si>
    <t xml:space="preserve">6B,9B</t>
  </si>
  <si>
    <t xml:space="preserve">1A,10A</t>
  </si>
  <si>
    <t xml:space="preserve">5A,9A</t>
  </si>
  <si>
    <t xml:space="preserve">6A,7A</t>
  </si>
  <si>
    <t xml:space="preserve">2A,4A</t>
  </si>
  <si>
    <t xml:space="preserve">3A,8A</t>
  </si>
  <si>
    <t xml:space="preserve">1B,10B</t>
  </si>
  <si>
    <t xml:space="preserve">5B,9B</t>
  </si>
  <si>
    <t xml:space="preserve">6B,7B</t>
  </si>
  <si>
    <t xml:space="preserve">2B,4B</t>
  </si>
  <si>
    <t xml:space="preserve">3B,8B</t>
  </si>
  <si>
    <t xml:space="preserve">3A,9A</t>
  </si>
  <si>
    <t xml:space="preserve">2A,8A</t>
  </si>
  <si>
    <t xml:space="preserve">6A,10A</t>
  </si>
  <si>
    <t xml:space="preserve">4A,7A</t>
  </si>
  <si>
    <t xml:space="preserve">1A,5A</t>
  </si>
  <si>
    <t xml:space="preserve">3B,9B</t>
  </si>
  <si>
    <t xml:space="preserve">2B,8B</t>
  </si>
  <si>
    <t xml:space="preserve">6B,10B</t>
  </si>
  <si>
    <t xml:space="preserve">4B,7B</t>
  </si>
  <si>
    <t xml:space="preserve">1B,5B</t>
  </si>
  <si>
    <t xml:space="preserve">Team</t>
  </si>
  <si>
    <t xml:space="preserve">1A</t>
  </si>
  <si>
    <t xml:space="preserve">Romeo / Kong</t>
  </si>
  <si>
    <t xml:space="preserve">2A</t>
  </si>
  <si>
    <t xml:space="preserve">Rechtin / Wee</t>
  </si>
  <si>
    <t xml:space="preserve">3A</t>
  </si>
  <si>
    <t xml:space="preserve">Spike / Cureton</t>
  </si>
  <si>
    <t xml:space="preserve">4A</t>
  </si>
  <si>
    <t xml:space="preserve">O’Leary / Rooze</t>
  </si>
  <si>
    <t xml:space="preserve">5A</t>
  </si>
  <si>
    <t xml:space="preserve">Struble / Chess</t>
  </si>
  <si>
    <t xml:space="preserve">6A</t>
  </si>
  <si>
    <t xml:space="preserve">Aviv / Virgilio</t>
  </si>
  <si>
    <t xml:space="preserve">7A</t>
  </si>
  <si>
    <t xml:space="preserve">Silberberg / Chisholm</t>
  </si>
  <si>
    <t xml:space="preserve">8A</t>
  </si>
  <si>
    <t xml:space="preserve">Hauer / Crash</t>
  </si>
  <si>
    <t xml:space="preserve">9A</t>
  </si>
  <si>
    <t xml:space="preserve">Latt / Della Grotte / House</t>
  </si>
  <si>
    <t xml:space="preserve">10A</t>
  </si>
  <si>
    <t xml:space="preserve">Heitner / Ponzio / Fields</t>
  </si>
  <si>
    <t xml:space="preserve">1B</t>
  </si>
  <si>
    <t xml:space="preserve">Tex / Chesty</t>
  </si>
  <si>
    <t xml:space="preserve">2B</t>
  </si>
  <si>
    <t xml:space="preserve">Scruggs / Watkins</t>
  </si>
  <si>
    <t xml:space="preserve">3B</t>
  </si>
  <si>
    <t xml:space="preserve">Harris / Bocci</t>
  </si>
  <si>
    <t xml:space="preserve">4B</t>
  </si>
  <si>
    <t xml:space="preserve">Abs / Leibly</t>
  </si>
  <si>
    <t xml:space="preserve">5B</t>
  </si>
  <si>
    <t xml:space="preserve">DeWitt / Frankel</t>
  </si>
  <si>
    <t xml:space="preserve">6B</t>
  </si>
  <si>
    <t xml:space="preserve">Lineman / DiPesa</t>
  </si>
  <si>
    <t xml:space="preserve">7B</t>
  </si>
  <si>
    <t xml:space="preserve">Mentle / Kramer</t>
  </si>
  <si>
    <t xml:space="preserve">8B</t>
  </si>
  <si>
    <t xml:space="preserve">Shutts / Pound</t>
  </si>
  <si>
    <t xml:space="preserve">9B</t>
  </si>
  <si>
    <t xml:space="preserve">Obst / Springo</t>
  </si>
  <si>
    <t xml:space="preserve">10B</t>
  </si>
  <si>
    <t xml:space="preserve">Cooper / West</t>
  </si>
  <si>
    <t xml:space="preserve">Round 8 – table 7 (teams 2B, 8B) – amended to 10-6 (for team 2B)</t>
  </si>
  <si>
    <t xml:space="preserve">Final Rank</t>
  </si>
  <si>
    <t xml:space="preserve">FF Matches</t>
  </si>
  <si>
    <t xml:space="preserve">FF Win Pct</t>
  </si>
  <si>
    <t xml:space="preserve">FF Pts 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</si>
</sst>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true" hidden="false" outlineLevel="0" max="3" min="3" style="1" width="7.97"/>
  </cols>
  <sheetData>
    <row r="1" s="3" customFormat="tru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4" t="s">
        <v>3</v>
      </c>
      <c r="C2" s="1" t="s">
        <v>4</v>
      </c>
    </row>
    <row r="3" customFormat="false" ht="12.8" hidden="false" customHeight="false" outlineLevel="0" collapsed="false">
      <c r="A3" s="1" t="n">
        <v>2</v>
      </c>
      <c r="B3" s="4" t="s">
        <v>5</v>
      </c>
      <c r="C3" s="1" t="s">
        <v>4</v>
      </c>
    </row>
    <row r="4" customFormat="false" ht="12.8" hidden="false" customHeight="false" outlineLevel="0" collapsed="false">
      <c r="A4" s="1" t="n">
        <v>3</v>
      </c>
      <c r="B4" s="4" t="s">
        <v>6</v>
      </c>
      <c r="C4" s="1" t="s">
        <v>4</v>
      </c>
    </row>
    <row r="5" customFormat="false" ht="12.8" hidden="false" customHeight="false" outlineLevel="0" collapsed="false">
      <c r="A5" s="1" t="n">
        <v>4</v>
      </c>
      <c r="B5" s="4" t="s">
        <v>7</v>
      </c>
      <c r="C5" s="1" t="s">
        <v>4</v>
      </c>
    </row>
    <row r="6" customFormat="false" ht="12.8" hidden="false" customHeight="false" outlineLevel="0" collapsed="false">
      <c r="A6" s="1" t="n">
        <v>5</v>
      </c>
      <c r="B6" s="4" t="s">
        <v>8</v>
      </c>
      <c r="C6" s="1" t="s">
        <v>4</v>
      </c>
    </row>
    <row r="7" customFormat="false" ht="12.8" hidden="false" customHeight="false" outlineLevel="0" collapsed="false">
      <c r="A7" s="1" t="n">
        <v>6</v>
      </c>
      <c r="B7" s="4" t="s">
        <v>9</v>
      </c>
      <c r="C7" s="1" t="s">
        <v>4</v>
      </c>
    </row>
    <row r="8" customFormat="false" ht="12.8" hidden="false" customHeight="false" outlineLevel="0" collapsed="false">
      <c r="A8" s="1" t="n">
        <v>7</v>
      </c>
      <c r="B8" s="4" t="s">
        <v>10</v>
      </c>
      <c r="C8" s="1" t="s">
        <v>4</v>
      </c>
    </row>
    <row r="9" customFormat="false" ht="12.8" hidden="false" customHeight="false" outlineLevel="0" collapsed="false">
      <c r="A9" s="1" t="n">
        <v>8</v>
      </c>
      <c r="B9" s="4" t="s">
        <v>11</v>
      </c>
      <c r="C9" s="1" t="s">
        <v>4</v>
      </c>
    </row>
    <row r="10" customFormat="false" ht="12.8" hidden="false" customHeight="false" outlineLevel="0" collapsed="false">
      <c r="A10" s="1" t="n">
        <v>9</v>
      </c>
      <c r="B10" s="4" t="s">
        <v>12</v>
      </c>
      <c r="C10" s="1" t="s">
        <v>4</v>
      </c>
    </row>
    <row r="11" customFormat="false" ht="12.8" hidden="false" customHeight="false" outlineLevel="0" collapsed="false">
      <c r="A11" s="1" t="n">
        <v>10</v>
      </c>
      <c r="B11" s="4" t="s">
        <v>13</v>
      </c>
      <c r="C11" s="1" t="s">
        <v>4</v>
      </c>
    </row>
    <row r="12" customFormat="false" ht="12.8" hidden="false" customHeight="false" outlineLevel="0" collapsed="false">
      <c r="A12" s="1" t="n">
        <v>11</v>
      </c>
      <c r="B12" s="4" t="s">
        <v>14</v>
      </c>
      <c r="C12" s="1" t="s">
        <v>15</v>
      </c>
    </row>
    <row r="13" customFormat="false" ht="12.8" hidden="false" customHeight="false" outlineLevel="0" collapsed="false">
      <c r="A13" s="1" t="n">
        <v>12</v>
      </c>
      <c r="B13" s="4" t="s">
        <v>16</v>
      </c>
      <c r="C13" s="1" t="s">
        <v>4</v>
      </c>
    </row>
    <row r="14" customFormat="false" ht="12.8" hidden="false" customHeight="false" outlineLevel="0" collapsed="false">
      <c r="A14" s="1" t="n">
        <v>13</v>
      </c>
      <c r="B14" s="4" t="s">
        <v>17</v>
      </c>
      <c r="C14" s="1" t="s">
        <v>4</v>
      </c>
    </row>
    <row r="15" customFormat="false" ht="12.8" hidden="false" customHeight="false" outlineLevel="0" collapsed="false">
      <c r="A15" s="1" t="n">
        <v>14</v>
      </c>
      <c r="B15" s="4" t="s">
        <v>18</v>
      </c>
      <c r="C15" s="1" t="s">
        <v>4</v>
      </c>
    </row>
    <row r="16" customFormat="false" ht="12.8" hidden="false" customHeight="false" outlineLevel="0" collapsed="false">
      <c r="A16" s="1" t="n">
        <v>15</v>
      </c>
      <c r="B16" s="4" t="s">
        <v>19</v>
      </c>
      <c r="C16" s="1" t="s">
        <v>4</v>
      </c>
    </row>
    <row r="17" customFormat="false" ht="12.8" hidden="false" customHeight="false" outlineLevel="0" collapsed="false">
      <c r="A17" s="1" t="n">
        <v>16</v>
      </c>
      <c r="B17" s="4" t="s">
        <v>20</v>
      </c>
      <c r="C17" s="1" t="s">
        <v>4</v>
      </c>
    </row>
    <row r="18" customFormat="false" ht="12.8" hidden="false" customHeight="false" outlineLevel="0" collapsed="false">
      <c r="A18" s="1" t="n">
        <v>17</v>
      </c>
      <c r="B18" s="4" t="s">
        <v>21</v>
      </c>
      <c r="C18" s="1" t="s">
        <v>4</v>
      </c>
    </row>
    <row r="19" customFormat="false" ht="12.8" hidden="false" customHeight="false" outlineLevel="0" collapsed="false">
      <c r="A19" s="1" t="n">
        <v>18</v>
      </c>
      <c r="B19" s="4" t="s">
        <v>22</v>
      </c>
      <c r="C19" s="1" t="s">
        <v>4</v>
      </c>
    </row>
    <row r="20" customFormat="false" ht="12.8" hidden="false" customHeight="false" outlineLevel="0" collapsed="false">
      <c r="A20" s="1" t="n">
        <v>19</v>
      </c>
      <c r="B20" s="4" t="s">
        <v>23</v>
      </c>
      <c r="C20" s="1" t="s">
        <v>4</v>
      </c>
    </row>
    <row r="21" customFormat="false" ht="12.8" hidden="false" customHeight="false" outlineLevel="0" collapsed="false">
      <c r="A21" s="1" t="n">
        <v>20</v>
      </c>
      <c r="B21" s="4" t="s">
        <v>24</v>
      </c>
      <c r="C21" s="1" t="s">
        <v>4</v>
      </c>
    </row>
    <row r="22" customFormat="false" ht="12.8" hidden="false" customHeight="false" outlineLevel="0" collapsed="false">
      <c r="A22" s="1" t="n">
        <v>21</v>
      </c>
      <c r="B22" s="4" t="s">
        <v>25</v>
      </c>
      <c r="C22" s="1" t="s">
        <v>4</v>
      </c>
    </row>
    <row r="23" customFormat="false" ht="12.8" hidden="false" customHeight="false" outlineLevel="0" collapsed="false">
      <c r="A23" s="1" t="n">
        <v>22</v>
      </c>
      <c r="B23" s="4" t="s">
        <v>26</v>
      </c>
      <c r="C23" s="1" t="s">
        <v>4</v>
      </c>
    </row>
    <row r="24" customFormat="false" ht="12.8" hidden="false" customHeight="false" outlineLevel="0" collapsed="false">
      <c r="A24" s="1" t="n">
        <v>23</v>
      </c>
      <c r="B24" s="4" t="s">
        <v>27</v>
      </c>
      <c r="C24" s="1" t="s">
        <v>4</v>
      </c>
    </row>
    <row r="25" customFormat="false" ht="12.8" hidden="false" customHeight="false" outlineLevel="0" collapsed="false">
      <c r="A25" s="1" t="n">
        <v>24</v>
      </c>
      <c r="B25" s="4" t="s">
        <v>28</v>
      </c>
      <c r="C25" s="1" t="s">
        <v>4</v>
      </c>
    </row>
    <row r="26" customFormat="false" ht="12.8" hidden="false" customHeight="false" outlineLevel="0" collapsed="false">
      <c r="A26" s="1" t="n">
        <v>25</v>
      </c>
      <c r="B26" s="4" t="s">
        <v>29</v>
      </c>
      <c r="C26" s="1" t="s">
        <v>15</v>
      </c>
    </row>
    <row r="27" customFormat="false" ht="12.8" hidden="false" customHeight="false" outlineLevel="0" collapsed="false">
      <c r="A27" s="1" t="n">
        <v>26</v>
      </c>
      <c r="B27" s="4" t="s">
        <v>30</v>
      </c>
      <c r="C27" s="1" t="s">
        <v>4</v>
      </c>
    </row>
    <row r="28" customFormat="false" ht="12.8" hidden="false" customHeight="false" outlineLevel="0" collapsed="false">
      <c r="A28" s="1" t="n">
        <v>27</v>
      </c>
      <c r="B28" s="4" t="s">
        <v>31</v>
      </c>
      <c r="C28" s="1" t="s">
        <v>4</v>
      </c>
    </row>
    <row r="29" customFormat="false" ht="12.8" hidden="false" customHeight="false" outlineLevel="0" collapsed="false">
      <c r="A29" s="1" t="n">
        <v>28</v>
      </c>
      <c r="B29" s="4" t="s">
        <v>32</v>
      </c>
      <c r="C29" s="1" t="s">
        <v>4</v>
      </c>
    </row>
    <row r="30" customFormat="false" ht="12.8" hidden="false" customHeight="false" outlineLevel="0" collapsed="false">
      <c r="A30" s="1" t="n">
        <v>29</v>
      </c>
      <c r="B30" s="4" t="s">
        <v>33</v>
      </c>
      <c r="C30" s="1" t="s">
        <v>4</v>
      </c>
    </row>
    <row r="31" customFormat="false" ht="12.8" hidden="false" customHeight="false" outlineLevel="0" collapsed="false">
      <c r="A31" s="1" t="n">
        <v>30</v>
      </c>
      <c r="B31" s="4" t="s">
        <v>34</v>
      </c>
      <c r="C31" s="1" t="s">
        <v>15</v>
      </c>
    </row>
    <row r="32" customFormat="false" ht="12.8" hidden="false" customHeight="false" outlineLevel="0" collapsed="false">
      <c r="A32" s="1" t="n">
        <v>31</v>
      </c>
      <c r="B32" s="4" t="s">
        <v>35</v>
      </c>
      <c r="C32" s="1" t="s">
        <v>4</v>
      </c>
    </row>
    <row r="33" customFormat="false" ht="12.8" hidden="false" customHeight="false" outlineLevel="0" collapsed="false">
      <c r="A33" s="1" t="n">
        <v>32</v>
      </c>
      <c r="B33" s="4" t="s">
        <v>36</v>
      </c>
      <c r="C33" s="1" t="s">
        <v>4</v>
      </c>
    </row>
    <row r="34" customFormat="false" ht="12.8" hidden="false" customHeight="false" outlineLevel="0" collapsed="false">
      <c r="A34" s="1" t="n">
        <v>33</v>
      </c>
      <c r="B34" s="4" t="s">
        <v>37</v>
      </c>
      <c r="C34" s="1" t="s">
        <v>4</v>
      </c>
    </row>
    <row r="35" customFormat="false" ht="12.8" hidden="false" customHeight="false" outlineLevel="0" collapsed="false">
      <c r="A35" s="1" t="n">
        <v>34</v>
      </c>
      <c r="B35" s="4" t="s">
        <v>38</v>
      </c>
      <c r="C35" s="1" t="s">
        <v>4</v>
      </c>
    </row>
    <row r="36" customFormat="false" ht="12.8" hidden="false" customHeight="false" outlineLevel="0" collapsed="false">
      <c r="A36" s="1" t="n">
        <v>35</v>
      </c>
      <c r="B36" s="4" t="s">
        <v>39</v>
      </c>
      <c r="C36" s="1" t="s">
        <v>4</v>
      </c>
    </row>
    <row r="37" customFormat="false" ht="12.8" hidden="false" customHeight="false" outlineLevel="0" collapsed="false">
      <c r="A37" s="1" t="n">
        <v>36</v>
      </c>
      <c r="B37" s="4" t="s">
        <v>40</v>
      </c>
      <c r="C37" s="1" t="s">
        <v>4</v>
      </c>
    </row>
    <row r="38" customFormat="false" ht="12.8" hidden="false" customHeight="false" outlineLevel="0" collapsed="false">
      <c r="A38" s="1" t="n">
        <v>37</v>
      </c>
      <c r="B38" s="4" t="s">
        <v>41</v>
      </c>
      <c r="C38" s="1" t="s">
        <v>4</v>
      </c>
    </row>
    <row r="39" customFormat="false" ht="12.8" hidden="false" customHeight="false" outlineLevel="0" collapsed="false">
      <c r="A39" s="1" t="n">
        <v>38</v>
      </c>
      <c r="B39" s="4" t="s">
        <v>42</v>
      </c>
      <c r="C39" s="1" t="s">
        <v>4</v>
      </c>
    </row>
    <row r="40" customFormat="false" ht="12.8" hidden="false" customHeight="false" outlineLevel="0" collapsed="false">
      <c r="A40" s="1" t="n">
        <v>39</v>
      </c>
      <c r="B40" s="4" t="s">
        <v>43</v>
      </c>
      <c r="C40" s="1" t="s">
        <v>4</v>
      </c>
    </row>
    <row r="41" customFormat="false" ht="12.8" hidden="false" customHeight="false" outlineLevel="0" collapsed="false">
      <c r="A41" s="1" t="n">
        <v>40</v>
      </c>
      <c r="B41" s="4" t="s">
        <v>44</v>
      </c>
      <c r="C41" s="1" t="s">
        <v>4</v>
      </c>
    </row>
    <row r="42" customFormat="false" ht="12.8" hidden="false" customHeight="false" outlineLevel="0" collapsed="false">
      <c r="A42" s="1" t="n">
        <v>41</v>
      </c>
      <c r="B42" s="4" t="s">
        <v>45</v>
      </c>
      <c r="C42" s="1" t="s">
        <v>4</v>
      </c>
    </row>
    <row r="43" customFormat="false" ht="12.8" hidden="false" customHeight="false" outlineLevel="0" collapsed="false">
      <c r="A43" s="1" t="n">
        <v>42</v>
      </c>
      <c r="B43" s="4" t="s">
        <v>46</v>
      </c>
      <c r="C4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8" activeCellId="0" sqref="K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false" hidden="false" outlineLevel="0" max="10" min="10" style="5" width="11.53"/>
    <col collapsed="false" customWidth="true" hidden="false" outlineLevel="0" max="11" min="11" style="5" width="11.65"/>
    <col collapsed="false" customWidth="true" hidden="false" outlineLevel="0" max="12" min="12" style="5" width="6.28"/>
  </cols>
  <sheetData>
    <row r="1" customFormat="false" ht="12.8" hidden="false" customHeight="false" outlineLevel="0" collapsed="false">
      <c r="A1" s="2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</row>
    <row r="2" customFormat="false" ht="12.8" hidden="false" customHeight="false" outlineLevel="0" collapsed="false">
      <c r="A2" s="2" t="n">
        <v>1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</row>
    <row r="3" customFormat="false" ht="12.8" hidden="false" customHeight="false" outlineLevel="0" collapsed="false">
      <c r="A3" s="2" t="n">
        <v>2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</row>
    <row r="4" customFormat="false" ht="12.8" hidden="false" customHeight="false" outlineLevel="0" collapsed="false">
      <c r="A4" s="2" t="n">
        <v>3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  <c r="L4" s="4" t="s">
        <v>91</v>
      </c>
    </row>
    <row r="5" customFormat="false" ht="12.8" hidden="false" customHeight="false" outlineLevel="0" collapsed="false">
      <c r="A5" s="2" t="n">
        <v>4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</row>
    <row r="6" customFormat="false" ht="12.8" hidden="false" customHeight="false" outlineLevel="0" collapsed="false">
      <c r="A6" s="2" t="n">
        <v>5</v>
      </c>
      <c r="B6" s="4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109</v>
      </c>
      <c r="I6" s="4" t="s">
        <v>110</v>
      </c>
      <c r="J6" s="4" t="s">
        <v>111</v>
      </c>
      <c r="K6" s="4" t="s">
        <v>112</v>
      </c>
      <c r="L6" s="4" t="s">
        <v>113</v>
      </c>
    </row>
    <row r="7" customFormat="false" ht="12.8" hidden="false" customHeight="false" outlineLevel="0" collapsed="false">
      <c r="A7" s="2" t="n">
        <v>6</v>
      </c>
      <c r="B7" s="4" t="s">
        <v>114</v>
      </c>
      <c r="C7" s="4" t="s">
        <v>115</v>
      </c>
      <c r="D7" s="4" t="s">
        <v>116</v>
      </c>
      <c r="E7" s="4" t="s">
        <v>117</v>
      </c>
      <c r="F7" s="4" t="s">
        <v>118</v>
      </c>
      <c r="G7" s="4" t="s">
        <v>119</v>
      </c>
      <c r="H7" s="4" t="s">
        <v>120</v>
      </c>
      <c r="I7" s="4" t="s">
        <v>121</v>
      </c>
      <c r="J7" s="4" t="s">
        <v>122</v>
      </c>
      <c r="K7" s="4" t="s">
        <v>123</v>
      </c>
      <c r="L7" s="4" t="s">
        <v>124</v>
      </c>
    </row>
    <row r="8" customFormat="false" ht="12.8" hidden="false" customHeight="false" outlineLevel="0" collapsed="false">
      <c r="A8" s="2" t="n">
        <v>7</v>
      </c>
      <c r="B8" s="4" t="s">
        <v>125</v>
      </c>
      <c r="C8" s="4" t="s">
        <v>126</v>
      </c>
      <c r="D8" s="4" t="s">
        <v>127</v>
      </c>
      <c r="E8" s="4" t="s">
        <v>128</v>
      </c>
      <c r="F8" s="4" t="s">
        <v>129</v>
      </c>
      <c r="G8" s="4" t="s">
        <v>130</v>
      </c>
      <c r="H8" s="4" t="s">
        <v>131</v>
      </c>
      <c r="I8" s="4" t="s">
        <v>132</v>
      </c>
      <c r="J8" s="4" t="s">
        <v>133</v>
      </c>
      <c r="K8" s="4" t="s">
        <v>134</v>
      </c>
      <c r="L8" s="4" t="s">
        <v>135</v>
      </c>
    </row>
    <row r="9" customFormat="false" ht="12.8" hidden="false" customHeight="false" outlineLevel="0" collapsed="false">
      <c r="A9" s="2" t="n">
        <v>8</v>
      </c>
      <c r="B9" s="4" t="s">
        <v>136</v>
      </c>
      <c r="C9" s="4" t="s">
        <v>137</v>
      </c>
      <c r="D9" s="4" t="s">
        <v>138</v>
      </c>
      <c r="E9" s="4" t="s">
        <v>139</v>
      </c>
      <c r="F9" s="4" t="s">
        <v>140</v>
      </c>
      <c r="G9" s="4" t="s">
        <v>141</v>
      </c>
      <c r="H9" s="4" t="s">
        <v>142</v>
      </c>
      <c r="I9" s="4" t="s">
        <v>143</v>
      </c>
      <c r="J9" s="4" t="s">
        <v>144</v>
      </c>
      <c r="K9" s="4" t="s">
        <v>145</v>
      </c>
      <c r="L9" s="4" t="s">
        <v>146</v>
      </c>
    </row>
    <row r="10" customFormat="false" ht="12.8" hidden="false" customHeight="false" outlineLevel="0" collapsed="false">
      <c r="J10" s="4"/>
    </row>
    <row r="12" customFormat="false" ht="12.8" hidden="false" customHeight="false" outlineLevel="0" collapsed="false">
      <c r="J12" s="4"/>
    </row>
    <row r="15" customFormat="false" ht="12.8" hidden="false" customHeight="false" outlineLevel="0" collapsed="false">
      <c r="J15" s="4"/>
    </row>
    <row r="17" customFormat="false" ht="12.8" hidden="false" customHeight="false" outlineLevel="0" collapsed="false">
      <c r="J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48" activeCellId="0" sqref="A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6"/>
    <col collapsed="false" customWidth="false" hidden="false" outlineLevel="0" max="2" min="2" style="4" width="11.55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66"/>
    <col collapsed="false" customWidth="true" hidden="false" outlineLevel="0" max="14" min="14" style="6" width="8.96"/>
    <col collapsed="false" customWidth="true" hidden="false" outlineLevel="0" max="22" min="15" style="6" width="5.76"/>
    <col collapsed="false" customWidth="true" hidden="false" outlineLevel="0" max="23" min="23" style="6" width="9.16"/>
    <col collapsed="false" customWidth="true" hidden="false" outlineLevel="0" max="24" min="24" style="7" width="7.8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8" t="s">
        <v>168</v>
      </c>
    </row>
    <row r="2" customFormat="false" ht="12.8" hidden="false" customHeight="false" outlineLevel="0" collapsed="false">
      <c r="A2" s="1" t="n">
        <v>1</v>
      </c>
      <c r="B2" s="4" t="s">
        <v>3</v>
      </c>
      <c r="C2" s="6" t="n">
        <f aca="false">COUNTIF(F2:M2,10)</f>
        <v>5</v>
      </c>
      <c r="D2" s="6" t="n">
        <f aca="false">COUNTIF(O2:V2,10)</f>
        <v>3</v>
      </c>
      <c r="E2" s="7" t="n">
        <f aca="false">C2/(C2+D2)</f>
        <v>0.625</v>
      </c>
      <c r="F2" s="6" t="n">
        <v>10</v>
      </c>
      <c r="G2" s="6" t="n">
        <v>10</v>
      </c>
      <c r="H2" s="6" t="n">
        <v>5</v>
      </c>
      <c r="I2" s="6" t="n">
        <v>5</v>
      </c>
      <c r="J2" s="6" t="n">
        <v>10</v>
      </c>
      <c r="K2" s="6" t="n">
        <v>5</v>
      </c>
      <c r="L2" s="6" t="n">
        <v>10</v>
      </c>
      <c r="M2" s="6" t="n">
        <v>10</v>
      </c>
      <c r="N2" s="6" t="n">
        <v>65</v>
      </c>
      <c r="O2" s="6" t="n">
        <v>8</v>
      </c>
      <c r="P2" s="6" t="n">
        <v>3</v>
      </c>
      <c r="Q2" s="6" t="n">
        <v>10</v>
      </c>
      <c r="R2" s="6" t="n">
        <v>10</v>
      </c>
      <c r="S2" s="6" t="n">
        <v>6</v>
      </c>
      <c r="T2" s="6" t="n">
        <v>10</v>
      </c>
      <c r="U2" s="6" t="n">
        <v>2</v>
      </c>
      <c r="V2" s="6" t="n">
        <v>5</v>
      </c>
      <c r="W2" s="6" t="n">
        <v>54</v>
      </c>
      <c r="X2" s="7" t="n">
        <f aca="false">N2/(N2+W2)</f>
        <v>0.546218487394958</v>
      </c>
    </row>
    <row r="3" customFormat="false" ht="12.8" hidden="false" customHeight="false" outlineLevel="0" collapsed="false">
      <c r="A3" s="1" t="n">
        <v>2</v>
      </c>
      <c r="B3" s="4" t="s">
        <v>5</v>
      </c>
      <c r="C3" s="6" t="n">
        <f aca="false">COUNTIF(F3:M3,10)</f>
        <v>6</v>
      </c>
      <c r="D3" s="6" t="n">
        <f aca="false">COUNTIF(O3:V3,10)</f>
        <v>2</v>
      </c>
      <c r="E3" s="7" t="n">
        <f aca="false">C3/(C3+D3)</f>
        <v>0.75</v>
      </c>
      <c r="F3" s="6" t="n">
        <v>10</v>
      </c>
      <c r="G3" s="6" t="n">
        <v>10</v>
      </c>
      <c r="H3" s="6" t="n">
        <v>10</v>
      </c>
      <c r="I3" s="6" t="n">
        <v>10</v>
      </c>
      <c r="J3" s="6" t="n">
        <v>7</v>
      </c>
      <c r="K3" s="6" t="n">
        <v>10</v>
      </c>
      <c r="L3" s="9" t="n">
        <v>10</v>
      </c>
      <c r="M3" s="6" t="n">
        <v>4</v>
      </c>
      <c r="N3" s="6" t="n">
        <v>71</v>
      </c>
      <c r="O3" s="6" t="n">
        <v>7</v>
      </c>
      <c r="P3" s="6" t="n">
        <v>3</v>
      </c>
      <c r="Q3" s="6" t="n">
        <v>7</v>
      </c>
      <c r="R3" s="6" t="n">
        <v>5</v>
      </c>
      <c r="S3" s="6" t="n">
        <v>10</v>
      </c>
      <c r="T3" s="6" t="n">
        <v>0</v>
      </c>
      <c r="U3" s="10" t="n">
        <v>7</v>
      </c>
      <c r="V3" s="6" t="n">
        <v>10</v>
      </c>
      <c r="W3" s="11" t="n">
        <v>49</v>
      </c>
      <c r="X3" s="12" t="n">
        <f aca="false">N3/(N3+W3)</f>
        <v>0.591666666666667</v>
      </c>
    </row>
    <row r="4" customFormat="false" ht="12.8" hidden="false" customHeight="false" outlineLevel="0" collapsed="false">
      <c r="A4" s="1" t="n">
        <v>3</v>
      </c>
      <c r="B4" s="4" t="s">
        <v>6</v>
      </c>
      <c r="C4" s="6" t="n">
        <f aca="false">COUNTIF(F4:M4,10)</f>
        <v>5</v>
      </c>
      <c r="D4" s="6" t="n">
        <f aca="false">COUNTIF(O4:V4,10)</f>
        <v>3</v>
      </c>
      <c r="E4" s="7" t="n">
        <f aca="false">C4/(C4+D4)</f>
        <v>0.625</v>
      </c>
      <c r="F4" s="6" t="n">
        <v>10</v>
      </c>
      <c r="G4" s="6" t="n">
        <v>10</v>
      </c>
      <c r="H4" s="6" t="n">
        <v>9</v>
      </c>
      <c r="I4" s="6" t="n">
        <v>5</v>
      </c>
      <c r="J4" s="6" t="n">
        <v>10</v>
      </c>
      <c r="K4" s="6" t="n">
        <v>10</v>
      </c>
      <c r="L4" s="6" t="n">
        <v>6</v>
      </c>
      <c r="M4" s="6" t="n">
        <v>10</v>
      </c>
      <c r="N4" s="6" t="n">
        <v>70</v>
      </c>
      <c r="O4" s="6" t="n">
        <v>8</v>
      </c>
      <c r="P4" s="6" t="n">
        <v>7</v>
      </c>
      <c r="Q4" s="6" t="n">
        <v>10</v>
      </c>
      <c r="R4" s="6" t="n">
        <v>10</v>
      </c>
      <c r="S4" s="6" t="n">
        <v>7</v>
      </c>
      <c r="T4" s="6" t="n">
        <v>9</v>
      </c>
      <c r="U4" s="6" t="n">
        <v>10</v>
      </c>
      <c r="V4" s="6" t="n">
        <v>6</v>
      </c>
      <c r="W4" s="6" t="n">
        <v>67</v>
      </c>
      <c r="X4" s="7" t="n">
        <f aca="false">N4/(N4+W4)</f>
        <v>0.510948905109489</v>
      </c>
    </row>
    <row r="5" customFormat="false" ht="12.8" hidden="false" customHeight="false" outlineLevel="0" collapsed="false">
      <c r="A5" s="1" t="n">
        <v>4</v>
      </c>
      <c r="B5" s="4" t="s">
        <v>7</v>
      </c>
      <c r="C5" s="6" t="n">
        <f aca="false">COUNTIF(F5:M5,10)</f>
        <v>1</v>
      </c>
      <c r="D5" s="6" t="n">
        <f aca="false">COUNTIF(O5:V5,10)</f>
        <v>7</v>
      </c>
      <c r="E5" s="7" t="n">
        <f aca="false">C5/(C5+D5)</f>
        <v>0.125</v>
      </c>
      <c r="F5" s="6" t="n">
        <v>6</v>
      </c>
      <c r="G5" s="6" t="n">
        <v>3</v>
      </c>
      <c r="H5" s="6" t="n">
        <v>9</v>
      </c>
      <c r="I5" s="6" t="n">
        <v>10</v>
      </c>
      <c r="J5" s="6" t="n">
        <v>6</v>
      </c>
      <c r="K5" s="6" t="n">
        <v>3</v>
      </c>
      <c r="L5" s="6" t="n">
        <v>4</v>
      </c>
      <c r="M5" s="6" t="n">
        <v>9</v>
      </c>
      <c r="N5" s="6" t="n">
        <v>50</v>
      </c>
      <c r="O5" s="6" t="n">
        <v>10</v>
      </c>
      <c r="P5" s="6" t="n">
        <v>10</v>
      </c>
      <c r="Q5" s="6" t="n">
        <v>10</v>
      </c>
      <c r="R5" s="6" t="n">
        <v>5</v>
      </c>
      <c r="S5" s="6" t="n">
        <v>10</v>
      </c>
      <c r="T5" s="6" t="n">
        <v>10</v>
      </c>
      <c r="U5" s="6" t="n">
        <v>10</v>
      </c>
      <c r="V5" s="6" t="n">
        <v>10</v>
      </c>
      <c r="W5" s="6" t="n">
        <v>75</v>
      </c>
      <c r="X5" s="7" t="n">
        <f aca="false">N5/(N5+W5)</f>
        <v>0.4</v>
      </c>
    </row>
    <row r="6" customFormat="false" ht="12.8" hidden="false" customHeight="false" outlineLevel="0" collapsed="false">
      <c r="A6" s="1" t="n">
        <v>5</v>
      </c>
      <c r="B6" s="4" t="s">
        <v>8</v>
      </c>
      <c r="C6" s="6" t="n">
        <f aca="false">COUNTIF(F6:M6,10)</f>
        <v>2</v>
      </c>
      <c r="D6" s="6" t="n">
        <f aca="false">COUNTIF(O6:V6,10)</f>
        <v>6</v>
      </c>
      <c r="E6" s="7" t="n">
        <f aca="false">C6/(C6+D6)</f>
        <v>0.25</v>
      </c>
      <c r="F6" s="6" t="n">
        <v>8</v>
      </c>
      <c r="G6" s="6" t="n">
        <v>1</v>
      </c>
      <c r="H6" s="6" t="n">
        <v>10</v>
      </c>
      <c r="I6" s="6" t="n">
        <v>5</v>
      </c>
      <c r="J6" s="6" t="n">
        <v>10</v>
      </c>
      <c r="K6" s="6" t="n">
        <v>5</v>
      </c>
      <c r="L6" s="6" t="n">
        <v>4</v>
      </c>
      <c r="M6" s="6" t="n">
        <v>5</v>
      </c>
      <c r="N6" s="6" t="n">
        <v>48</v>
      </c>
      <c r="O6" s="6" t="n">
        <v>10</v>
      </c>
      <c r="P6" s="6" t="n">
        <v>10</v>
      </c>
      <c r="Q6" s="6" t="n">
        <v>3</v>
      </c>
      <c r="R6" s="6" t="n">
        <v>10</v>
      </c>
      <c r="S6" s="6" t="n">
        <v>7</v>
      </c>
      <c r="T6" s="6" t="n">
        <v>10</v>
      </c>
      <c r="U6" s="6" t="n">
        <v>10</v>
      </c>
      <c r="V6" s="6" t="n">
        <v>10</v>
      </c>
      <c r="W6" s="6" t="n">
        <v>70</v>
      </c>
      <c r="X6" s="7" t="n">
        <f aca="false">N6/(N6+W6)</f>
        <v>0.406779661016949</v>
      </c>
    </row>
    <row r="7" customFormat="false" ht="12.8" hidden="false" customHeight="false" outlineLevel="0" collapsed="false">
      <c r="A7" s="1" t="n">
        <v>6</v>
      </c>
      <c r="B7" s="4" t="s">
        <v>9</v>
      </c>
      <c r="C7" s="6" t="n">
        <f aca="false">COUNTIF(F7:M7,10)</f>
        <v>4</v>
      </c>
      <c r="D7" s="6" t="n">
        <f aca="false">COUNTIF(O7:V7,10)</f>
        <v>4</v>
      </c>
      <c r="E7" s="7" t="n">
        <f aca="false">C7/(C7+D7)</f>
        <v>0.5</v>
      </c>
      <c r="F7" s="6" t="n">
        <v>4</v>
      </c>
      <c r="G7" s="6" t="n">
        <v>10</v>
      </c>
      <c r="H7" s="6" t="n">
        <v>5</v>
      </c>
      <c r="I7" s="6" t="n">
        <v>10</v>
      </c>
      <c r="J7" s="6" t="n">
        <v>10</v>
      </c>
      <c r="K7" s="6" t="n">
        <v>6</v>
      </c>
      <c r="L7" s="6" t="n">
        <v>10</v>
      </c>
      <c r="M7" s="6" t="n">
        <v>5</v>
      </c>
      <c r="N7" s="6" t="n">
        <v>60</v>
      </c>
      <c r="O7" s="6" t="n">
        <v>10</v>
      </c>
      <c r="P7" s="6" t="n">
        <v>7</v>
      </c>
      <c r="Q7" s="6" t="n">
        <v>10</v>
      </c>
      <c r="R7" s="6" t="n">
        <v>5</v>
      </c>
      <c r="S7" s="6" t="n">
        <v>6</v>
      </c>
      <c r="T7" s="6" t="n">
        <v>10</v>
      </c>
      <c r="U7" s="6" t="n">
        <v>4</v>
      </c>
      <c r="V7" s="6" t="n">
        <v>10</v>
      </c>
      <c r="W7" s="6" t="n">
        <v>62</v>
      </c>
      <c r="X7" s="7" t="n">
        <f aca="false">N7/(N7+W7)</f>
        <v>0.491803278688525</v>
      </c>
    </row>
    <row r="8" customFormat="false" ht="12.8" hidden="false" customHeight="false" outlineLevel="0" collapsed="false">
      <c r="A8" s="1" t="n">
        <v>7</v>
      </c>
      <c r="B8" s="5" t="s">
        <v>10</v>
      </c>
      <c r="C8" s="6" t="n">
        <f aca="false">COUNTIF(F8:M8,10)</f>
        <v>3</v>
      </c>
      <c r="D8" s="6" t="n">
        <f aca="false">COUNTIF(O8:V8,10)</f>
        <v>5</v>
      </c>
      <c r="E8" s="7" t="n">
        <f aca="false">C8/(C8+D8)</f>
        <v>0.375</v>
      </c>
      <c r="F8" s="6" t="n">
        <v>9</v>
      </c>
      <c r="G8" s="6" t="n">
        <v>3</v>
      </c>
      <c r="H8" s="6" t="n">
        <v>10</v>
      </c>
      <c r="I8" s="6" t="n">
        <v>9</v>
      </c>
      <c r="J8" s="6" t="n">
        <v>7</v>
      </c>
      <c r="K8" s="6" t="n">
        <v>10</v>
      </c>
      <c r="L8" s="6" t="n">
        <v>8</v>
      </c>
      <c r="M8" s="6" t="n">
        <v>10</v>
      </c>
      <c r="N8" s="6" t="n">
        <v>66</v>
      </c>
      <c r="O8" s="6" t="n">
        <v>10</v>
      </c>
      <c r="P8" s="6" t="n">
        <v>10</v>
      </c>
      <c r="Q8" s="6" t="n">
        <v>3</v>
      </c>
      <c r="R8" s="6" t="n">
        <v>10</v>
      </c>
      <c r="S8" s="6" t="n">
        <v>10</v>
      </c>
      <c r="T8" s="6" t="n">
        <v>9</v>
      </c>
      <c r="U8" s="6" t="n">
        <v>10</v>
      </c>
      <c r="V8" s="6" t="n">
        <v>7</v>
      </c>
      <c r="W8" s="6" t="n">
        <v>69</v>
      </c>
      <c r="X8" s="7" t="n">
        <f aca="false">N8/(N8+W8)</f>
        <v>0.488888888888889</v>
      </c>
    </row>
    <row r="9" customFormat="false" ht="12.8" hidden="false" customHeight="false" outlineLevel="0" collapsed="false">
      <c r="A9" s="1" t="n">
        <v>8</v>
      </c>
      <c r="B9" s="5" t="s">
        <v>11</v>
      </c>
      <c r="C9" s="6" t="n">
        <f aca="false">COUNTIF(F9:M9,10)</f>
        <v>1</v>
      </c>
      <c r="D9" s="6" t="n">
        <f aca="false">COUNTIF(O9:V9,10)</f>
        <v>6</v>
      </c>
      <c r="E9" s="7" t="n">
        <f aca="false">C9/(C9+D9)</f>
        <v>0.142857142857143</v>
      </c>
      <c r="F9" s="6" t="s">
        <v>169</v>
      </c>
      <c r="G9" s="6" t="n">
        <v>1</v>
      </c>
      <c r="H9" s="6" t="n">
        <v>5</v>
      </c>
      <c r="I9" s="6" t="n">
        <v>5</v>
      </c>
      <c r="J9" s="6" t="n">
        <v>7</v>
      </c>
      <c r="K9" s="6" t="n">
        <v>10</v>
      </c>
      <c r="L9" s="6" t="n">
        <v>9</v>
      </c>
      <c r="M9" s="6" t="n">
        <v>5</v>
      </c>
      <c r="N9" s="6" t="n">
        <v>42</v>
      </c>
      <c r="O9" s="6" t="s">
        <v>170</v>
      </c>
      <c r="P9" s="6" t="n">
        <v>10</v>
      </c>
      <c r="Q9" s="6" t="n">
        <v>10</v>
      </c>
      <c r="R9" s="6" t="n">
        <v>10</v>
      </c>
      <c r="S9" s="6" t="n">
        <v>10</v>
      </c>
      <c r="T9" s="6" t="n">
        <v>6</v>
      </c>
      <c r="U9" s="6" t="n">
        <v>10</v>
      </c>
      <c r="V9" s="6" t="n">
        <v>10</v>
      </c>
      <c r="W9" s="6" t="n">
        <v>66</v>
      </c>
      <c r="X9" s="7" t="n">
        <f aca="false">N9/(N9+W9)</f>
        <v>0.388888888888889</v>
      </c>
    </row>
    <row r="10" customFormat="false" ht="12.8" hidden="false" customHeight="false" outlineLevel="0" collapsed="false">
      <c r="A10" s="1" t="n">
        <v>9</v>
      </c>
      <c r="B10" s="4" t="s">
        <v>12</v>
      </c>
      <c r="C10" s="6" t="n">
        <f aca="false">COUNTIF(F10:M10,10)</f>
        <v>5</v>
      </c>
      <c r="D10" s="6" t="n">
        <f aca="false">COUNTIF(O10:V10,10)</f>
        <v>3</v>
      </c>
      <c r="E10" s="7" t="n">
        <f aca="false">C10/(C10+D10)</f>
        <v>0.625</v>
      </c>
      <c r="F10" s="6" t="n">
        <v>4</v>
      </c>
      <c r="G10" s="6" t="n">
        <v>10</v>
      </c>
      <c r="H10" s="6" t="n">
        <v>10</v>
      </c>
      <c r="I10" s="6" t="n">
        <v>10</v>
      </c>
      <c r="J10" s="6" t="n">
        <v>10</v>
      </c>
      <c r="K10" s="6" t="n">
        <v>5</v>
      </c>
      <c r="L10" s="6" t="n">
        <v>5</v>
      </c>
      <c r="M10" s="6" t="n">
        <v>10</v>
      </c>
      <c r="N10" s="6" t="n">
        <v>64</v>
      </c>
      <c r="O10" s="6" t="n">
        <v>10</v>
      </c>
      <c r="P10" s="6" t="n">
        <v>1</v>
      </c>
      <c r="Q10" s="6" t="n">
        <v>9</v>
      </c>
      <c r="R10" s="6" t="n">
        <v>8</v>
      </c>
      <c r="S10" s="6" t="n">
        <v>2</v>
      </c>
      <c r="T10" s="6" t="n">
        <v>10</v>
      </c>
      <c r="U10" s="6" t="n">
        <v>10</v>
      </c>
      <c r="V10" s="6" t="n">
        <v>7</v>
      </c>
      <c r="W10" s="6" t="n">
        <v>57</v>
      </c>
      <c r="X10" s="7" t="n">
        <f aca="false">N10/(N10+W10)</f>
        <v>0.528925619834711</v>
      </c>
    </row>
    <row r="11" customFormat="false" ht="12.8" hidden="false" customHeight="false" outlineLevel="0" collapsed="false">
      <c r="A11" s="1" t="n">
        <v>10</v>
      </c>
      <c r="B11" s="5" t="s">
        <v>13</v>
      </c>
      <c r="C11" s="6" t="n">
        <f aca="false">COUNTIF(F11:M11,10)</f>
        <v>4</v>
      </c>
      <c r="D11" s="6" t="n">
        <f aca="false">COUNTIF(O11:V11,10)</f>
        <v>4</v>
      </c>
      <c r="E11" s="7" t="n">
        <f aca="false">C11/(C11+D11)</f>
        <v>0.5</v>
      </c>
      <c r="F11" s="6" t="n">
        <v>4</v>
      </c>
      <c r="G11" s="6" t="n">
        <v>10</v>
      </c>
      <c r="H11" s="6" t="n">
        <v>10</v>
      </c>
      <c r="I11" s="6" t="n">
        <v>5</v>
      </c>
      <c r="J11" s="6" t="n">
        <v>10</v>
      </c>
      <c r="K11" s="6" t="n">
        <v>3</v>
      </c>
      <c r="L11" s="6" t="n">
        <v>8</v>
      </c>
      <c r="M11" s="6" t="n">
        <v>10</v>
      </c>
      <c r="N11" s="6" t="n">
        <v>60</v>
      </c>
      <c r="O11" s="6" t="n">
        <v>10</v>
      </c>
      <c r="P11" s="6" t="n">
        <v>1</v>
      </c>
      <c r="Q11" s="6" t="n">
        <v>7</v>
      </c>
      <c r="R11" s="6" t="n">
        <v>10</v>
      </c>
      <c r="S11" s="6" t="n">
        <v>7</v>
      </c>
      <c r="T11" s="6" t="n">
        <v>10</v>
      </c>
      <c r="U11" s="6" t="n">
        <v>10</v>
      </c>
      <c r="V11" s="6" t="n">
        <v>1</v>
      </c>
      <c r="W11" s="6" t="n">
        <v>56</v>
      </c>
      <c r="X11" s="7" t="n">
        <f aca="false">N11/(N11+W11)</f>
        <v>0.517241379310345</v>
      </c>
    </row>
    <row r="12" customFormat="false" ht="12.8" hidden="false" customHeight="false" outlineLevel="0" collapsed="false">
      <c r="A12" s="1" t="n">
        <v>11</v>
      </c>
      <c r="B12" s="5" t="s">
        <v>14</v>
      </c>
      <c r="C12" s="6" t="n">
        <f aca="false">COUNTIF(F12:M12,10)</f>
        <v>2</v>
      </c>
      <c r="D12" s="6" t="n">
        <f aca="false">COUNTIF(O12:V12,10)</f>
        <v>6</v>
      </c>
      <c r="E12" s="7" t="n">
        <f aca="false">C12/(C12+D12)</f>
        <v>0.25</v>
      </c>
      <c r="F12" s="6" t="n">
        <v>8</v>
      </c>
      <c r="G12" s="6" t="n">
        <v>3</v>
      </c>
      <c r="H12" s="6" t="n">
        <v>4</v>
      </c>
      <c r="I12" s="6" t="n">
        <v>2</v>
      </c>
      <c r="J12" s="6" t="n">
        <v>10</v>
      </c>
      <c r="K12" s="6" t="n">
        <v>10</v>
      </c>
      <c r="L12" s="6" t="n">
        <v>2</v>
      </c>
      <c r="M12" s="6" t="n">
        <v>7</v>
      </c>
      <c r="N12" s="6" t="n">
        <v>46</v>
      </c>
      <c r="O12" s="6" t="n">
        <v>10</v>
      </c>
      <c r="P12" s="6" t="n">
        <v>10</v>
      </c>
      <c r="Q12" s="6" t="n">
        <v>10</v>
      </c>
      <c r="R12" s="6" t="n">
        <v>10</v>
      </c>
      <c r="S12" s="6" t="n">
        <v>7</v>
      </c>
      <c r="T12" s="6" t="n">
        <v>3</v>
      </c>
      <c r="U12" s="6" t="n">
        <v>10</v>
      </c>
      <c r="V12" s="6" t="n">
        <v>10</v>
      </c>
      <c r="W12" s="6" t="n">
        <v>70</v>
      </c>
      <c r="X12" s="7" t="n">
        <f aca="false">N12/(N12+W12)</f>
        <v>0.396551724137931</v>
      </c>
    </row>
    <row r="13" customFormat="false" ht="12.8" hidden="false" customHeight="false" outlineLevel="0" collapsed="false">
      <c r="A13" s="1" t="n">
        <v>12</v>
      </c>
      <c r="B13" s="5" t="s">
        <v>16</v>
      </c>
      <c r="C13" s="6" t="n">
        <f aca="false">COUNTIF(F13:M13,10)</f>
        <v>3</v>
      </c>
      <c r="D13" s="6" t="n">
        <f aca="false">COUNTIF(O13:V13,10)</f>
        <v>5</v>
      </c>
      <c r="E13" s="7" t="n">
        <f aca="false">C13/(C13+D13)</f>
        <v>0.375</v>
      </c>
      <c r="F13" s="6" t="n">
        <v>4</v>
      </c>
      <c r="G13" s="6" t="n">
        <v>3</v>
      </c>
      <c r="H13" s="6" t="n">
        <v>5</v>
      </c>
      <c r="I13" s="6" t="n">
        <v>9</v>
      </c>
      <c r="J13" s="6" t="n">
        <v>10</v>
      </c>
      <c r="K13" s="6" t="n">
        <v>10</v>
      </c>
      <c r="L13" s="13" t="n">
        <v>4</v>
      </c>
      <c r="M13" s="6" t="n">
        <v>10</v>
      </c>
      <c r="N13" s="11" t="n">
        <v>55</v>
      </c>
      <c r="O13" s="6" t="n">
        <v>10</v>
      </c>
      <c r="P13" s="6" t="n">
        <v>10</v>
      </c>
      <c r="Q13" s="6" t="n">
        <v>10</v>
      </c>
      <c r="R13" s="6" t="n">
        <v>10</v>
      </c>
      <c r="S13" s="6" t="n">
        <v>5</v>
      </c>
      <c r="T13" s="6" t="n">
        <v>0</v>
      </c>
      <c r="U13" s="13" t="n">
        <v>10</v>
      </c>
      <c r="V13" s="6" t="n">
        <v>5</v>
      </c>
      <c r="W13" s="11" t="n">
        <v>60</v>
      </c>
      <c r="X13" s="12" t="n">
        <f aca="false">N13/(N13+W13)</f>
        <v>0.478260869565217</v>
      </c>
    </row>
    <row r="14" customFormat="false" ht="12.8" hidden="false" customHeight="false" outlineLevel="0" collapsed="false">
      <c r="A14" s="1" t="n">
        <v>13</v>
      </c>
      <c r="B14" s="4" t="s">
        <v>17</v>
      </c>
      <c r="C14" s="6" t="n">
        <f aca="false">COUNTIF(F14:M14,10)</f>
        <v>4</v>
      </c>
      <c r="D14" s="6" t="n">
        <f aca="false">COUNTIF(O14:V14,10)</f>
        <v>4</v>
      </c>
      <c r="E14" s="7" t="n">
        <f aca="false">C14/(C14+D14)</f>
        <v>0.5</v>
      </c>
      <c r="F14" s="6" t="n">
        <v>10</v>
      </c>
      <c r="G14" s="6" t="n">
        <v>8</v>
      </c>
      <c r="H14" s="6" t="n">
        <v>7</v>
      </c>
      <c r="I14" s="6" t="n">
        <v>10</v>
      </c>
      <c r="J14" s="6" t="n">
        <v>10</v>
      </c>
      <c r="K14" s="6" t="n">
        <v>10</v>
      </c>
      <c r="L14" s="6" t="n">
        <v>6</v>
      </c>
      <c r="M14" s="6" t="n">
        <v>9</v>
      </c>
      <c r="N14" s="6" t="n">
        <v>70</v>
      </c>
      <c r="O14" s="6" t="n">
        <v>8</v>
      </c>
      <c r="P14" s="6" t="n">
        <v>10</v>
      </c>
      <c r="Q14" s="6" t="n">
        <v>10</v>
      </c>
      <c r="R14" s="6" t="n">
        <v>8</v>
      </c>
      <c r="S14" s="6" t="n">
        <v>7</v>
      </c>
      <c r="T14" s="6" t="n">
        <v>7</v>
      </c>
      <c r="U14" s="6" t="n">
        <v>10</v>
      </c>
      <c r="V14" s="6" t="n">
        <v>10</v>
      </c>
      <c r="W14" s="6" t="n">
        <v>70</v>
      </c>
      <c r="X14" s="7" t="n">
        <f aca="false">N14/(N14+W14)</f>
        <v>0.5</v>
      </c>
    </row>
    <row r="15" customFormat="false" ht="12.8" hidden="false" customHeight="false" outlineLevel="0" collapsed="false">
      <c r="A15" s="1" t="n">
        <v>14</v>
      </c>
      <c r="B15" s="4" t="s">
        <v>18</v>
      </c>
      <c r="C15" s="6" t="n">
        <f aca="false">COUNTIF(F15:M15,10)</f>
        <v>5</v>
      </c>
      <c r="D15" s="6" t="n">
        <f aca="false">COUNTIF(O15:V15,10)</f>
        <v>2</v>
      </c>
      <c r="E15" s="7" t="n">
        <f aca="false">C15/(C15+D15)</f>
        <v>0.714285714285714</v>
      </c>
      <c r="F15" s="6" t="n">
        <v>10</v>
      </c>
      <c r="G15" s="6" t="s">
        <v>169</v>
      </c>
      <c r="H15" s="6" t="n">
        <v>10</v>
      </c>
      <c r="I15" s="6" t="n">
        <v>10</v>
      </c>
      <c r="J15" s="6" t="n">
        <v>7</v>
      </c>
      <c r="K15" s="6" t="n">
        <v>10</v>
      </c>
      <c r="L15" s="6" t="n">
        <v>10</v>
      </c>
      <c r="M15" s="6" t="n">
        <v>4</v>
      </c>
      <c r="N15" s="6" t="n">
        <v>61</v>
      </c>
      <c r="O15" s="6" t="n">
        <v>8</v>
      </c>
      <c r="P15" s="6" t="s">
        <v>169</v>
      </c>
      <c r="Q15" s="6" t="n">
        <v>5</v>
      </c>
      <c r="R15" s="6" t="n">
        <v>8</v>
      </c>
      <c r="S15" s="6" t="n">
        <v>10</v>
      </c>
      <c r="T15" s="6" t="n">
        <v>3</v>
      </c>
      <c r="U15" s="6" t="n">
        <v>2</v>
      </c>
      <c r="V15" s="6" t="n">
        <v>10</v>
      </c>
      <c r="W15" s="6" t="n">
        <v>46</v>
      </c>
      <c r="X15" s="7" t="n">
        <f aca="false">N15/(N15+W15)</f>
        <v>0.570093457943925</v>
      </c>
    </row>
    <row r="16" customFormat="false" ht="12.8" hidden="false" customHeight="false" outlineLevel="0" collapsed="false">
      <c r="A16" s="1" t="n">
        <v>15</v>
      </c>
      <c r="B16" s="5" t="s">
        <v>19</v>
      </c>
      <c r="C16" s="6" t="n">
        <f aca="false">COUNTIF(F16:M16,10)</f>
        <v>4</v>
      </c>
      <c r="D16" s="6" t="n">
        <f aca="false">COUNTIF(O16:V16,10)</f>
        <v>3</v>
      </c>
      <c r="E16" s="7" t="n">
        <f aca="false">C16/(C16+D16)</f>
        <v>0.571428571428571</v>
      </c>
      <c r="F16" s="6" t="n">
        <v>9</v>
      </c>
      <c r="G16" s="6" t="n">
        <v>10</v>
      </c>
      <c r="H16" s="6" t="n">
        <v>10</v>
      </c>
      <c r="I16" s="6" t="n">
        <v>10</v>
      </c>
      <c r="J16" s="6" t="n">
        <v>10</v>
      </c>
      <c r="K16" s="6" t="s">
        <v>169</v>
      </c>
      <c r="L16" s="13" t="n">
        <v>4</v>
      </c>
      <c r="M16" s="6" t="n">
        <v>4</v>
      </c>
      <c r="N16" s="11" t="n">
        <v>57</v>
      </c>
      <c r="O16" s="6" t="n">
        <v>10</v>
      </c>
      <c r="P16" s="6" t="n">
        <v>9</v>
      </c>
      <c r="Q16" s="6" t="n">
        <v>5</v>
      </c>
      <c r="R16" s="6" t="n">
        <v>8</v>
      </c>
      <c r="S16" s="6" t="n">
        <v>9</v>
      </c>
      <c r="T16" s="6" t="s">
        <v>169</v>
      </c>
      <c r="U16" s="13" t="n">
        <v>10</v>
      </c>
      <c r="V16" s="6" t="n">
        <v>10</v>
      </c>
      <c r="W16" s="11" t="n">
        <v>61</v>
      </c>
      <c r="X16" s="12" t="n">
        <f aca="false">N16/(N16+W16)</f>
        <v>0.483050847457627</v>
      </c>
    </row>
    <row r="17" customFormat="false" ht="12.8" hidden="false" customHeight="false" outlineLevel="0" collapsed="false">
      <c r="A17" s="1" t="n">
        <v>16</v>
      </c>
      <c r="B17" s="4" t="s">
        <v>20</v>
      </c>
      <c r="C17" s="6" t="n">
        <f aca="false">COUNTIF(F17:M17,10)</f>
        <v>5</v>
      </c>
      <c r="D17" s="6" t="n">
        <f aca="false">COUNTIF(O17:V17,10)</f>
        <v>3</v>
      </c>
      <c r="E17" s="7" t="n">
        <f aca="false">C17/(C17+D17)</f>
        <v>0.625</v>
      </c>
      <c r="F17" s="6" t="n">
        <v>10</v>
      </c>
      <c r="G17" s="11" t="n">
        <v>5</v>
      </c>
      <c r="H17" s="6" t="n">
        <v>6</v>
      </c>
      <c r="I17" s="6" t="n">
        <v>10</v>
      </c>
      <c r="J17" s="6" t="n">
        <v>10</v>
      </c>
      <c r="K17" s="6" t="n">
        <v>10</v>
      </c>
      <c r="L17" s="9" t="n">
        <v>10</v>
      </c>
      <c r="M17" s="6" t="n">
        <v>5</v>
      </c>
      <c r="N17" s="11" t="n">
        <v>66</v>
      </c>
      <c r="O17" s="6" t="n">
        <v>4</v>
      </c>
      <c r="P17" s="6" t="n">
        <v>10</v>
      </c>
      <c r="Q17" s="11" t="n">
        <v>10</v>
      </c>
      <c r="R17" s="6" t="n">
        <v>5</v>
      </c>
      <c r="S17" s="6" t="n">
        <v>9</v>
      </c>
      <c r="T17" s="6" t="n">
        <v>7</v>
      </c>
      <c r="U17" s="10" t="n">
        <v>7</v>
      </c>
      <c r="V17" s="6" t="n">
        <v>10</v>
      </c>
      <c r="W17" s="11" t="n">
        <v>62</v>
      </c>
      <c r="X17" s="12" t="n">
        <f aca="false">N17/(N17+W17)</f>
        <v>0.515625</v>
      </c>
    </row>
    <row r="18" customFormat="false" ht="12.8" hidden="false" customHeight="false" outlineLevel="0" collapsed="false">
      <c r="A18" s="1" t="n">
        <v>17</v>
      </c>
      <c r="B18" s="4" t="s">
        <v>21</v>
      </c>
      <c r="C18" s="6" t="n">
        <f aca="false">COUNTIF(F18:M18,10)</f>
        <v>5</v>
      </c>
      <c r="D18" s="6" t="n">
        <f aca="false">COUNTIF(O18:V18,10)</f>
        <v>3</v>
      </c>
      <c r="E18" s="7" t="n">
        <f aca="false">C18/(C18+D18)</f>
        <v>0.625</v>
      </c>
      <c r="F18" s="6" t="n">
        <v>10</v>
      </c>
      <c r="G18" s="6" t="n">
        <v>7</v>
      </c>
      <c r="H18" s="6" t="n">
        <v>6</v>
      </c>
      <c r="I18" s="6" t="n">
        <v>8</v>
      </c>
      <c r="J18" s="6" t="n">
        <v>10</v>
      </c>
      <c r="K18" s="6" t="n">
        <v>10</v>
      </c>
      <c r="L18" s="6" t="n">
        <v>10</v>
      </c>
      <c r="M18" s="6" t="n">
        <v>10</v>
      </c>
      <c r="N18" s="6" t="n">
        <v>71</v>
      </c>
      <c r="O18" s="6" t="n">
        <v>8</v>
      </c>
      <c r="P18" s="6" t="n">
        <v>10</v>
      </c>
      <c r="Q18" s="6" t="n">
        <v>10</v>
      </c>
      <c r="R18" s="6" t="n">
        <v>10</v>
      </c>
      <c r="S18" s="6" t="n">
        <v>2</v>
      </c>
      <c r="T18" s="6" t="n">
        <v>4</v>
      </c>
      <c r="U18" s="6" t="n">
        <v>7</v>
      </c>
      <c r="V18" s="6" t="n">
        <v>8</v>
      </c>
      <c r="W18" s="6" t="n">
        <v>59</v>
      </c>
      <c r="X18" s="7" t="n">
        <f aca="false">N18/(N18+W18)</f>
        <v>0.546153846153846</v>
      </c>
    </row>
    <row r="19" customFormat="false" ht="12.8" hidden="false" customHeight="false" outlineLevel="0" collapsed="false">
      <c r="A19" s="1" t="n">
        <v>18</v>
      </c>
      <c r="B19" s="4" t="s">
        <v>22</v>
      </c>
      <c r="C19" s="6" t="n">
        <f aca="false">COUNTIF(F19:M19,10)</f>
        <v>4</v>
      </c>
      <c r="D19" s="6" t="n">
        <f aca="false">COUNTIF(O19:V19,10)</f>
        <v>4</v>
      </c>
      <c r="E19" s="7" t="n">
        <f aca="false">C19/(C19+D19)</f>
        <v>0.5</v>
      </c>
      <c r="F19" s="6" t="n">
        <v>10</v>
      </c>
      <c r="G19" s="6" t="n">
        <v>10</v>
      </c>
      <c r="H19" s="6" t="n">
        <v>7</v>
      </c>
      <c r="I19" s="6" t="n">
        <v>10</v>
      </c>
      <c r="J19" s="6" t="n">
        <v>6</v>
      </c>
      <c r="K19" s="6" t="n">
        <v>10</v>
      </c>
      <c r="L19" s="6" t="n">
        <v>9</v>
      </c>
      <c r="M19" s="6" t="n">
        <v>4</v>
      </c>
      <c r="N19" s="6" t="n">
        <v>66</v>
      </c>
      <c r="O19" s="6" t="n">
        <v>8</v>
      </c>
      <c r="P19" s="6" t="n">
        <v>6</v>
      </c>
      <c r="Q19" s="6" t="n">
        <v>10</v>
      </c>
      <c r="R19" s="6" t="n">
        <v>9</v>
      </c>
      <c r="S19" s="6" t="n">
        <v>10</v>
      </c>
      <c r="T19" s="6" t="n">
        <v>5</v>
      </c>
      <c r="U19" s="6" t="n">
        <v>10</v>
      </c>
      <c r="V19" s="6" t="n">
        <v>10</v>
      </c>
      <c r="W19" s="6" t="n">
        <v>68</v>
      </c>
      <c r="X19" s="7" t="n">
        <f aca="false">N19/(N19+W19)</f>
        <v>0.492537313432836</v>
      </c>
    </row>
    <row r="20" customFormat="false" ht="12.8" hidden="false" customHeight="false" outlineLevel="0" collapsed="false">
      <c r="A20" s="1" t="n">
        <v>19</v>
      </c>
      <c r="B20" s="4" t="s">
        <v>23</v>
      </c>
      <c r="C20" s="6" t="n">
        <f aca="false">COUNTIF(F20:M20,10)</f>
        <v>4</v>
      </c>
      <c r="D20" s="6" t="n">
        <f aca="false">COUNTIF(O20:V20,10)</f>
        <v>4</v>
      </c>
      <c r="E20" s="7" t="n">
        <f aca="false">C20/(C20+D20)</f>
        <v>0.5</v>
      </c>
      <c r="F20" s="6" t="n">
        <v>10</v>
      </c>
      <c r="G20" s="6" t="n">
        <v>10</v>
      </c>
      <c r="H20" s="6" t="n">
        <v>4</v>
      </c>
      <c r="I20" s="6" t="n">
        <v>10</v>
      </c>
      <c r="J20" s="6" t="n">
        <v>6</v>
      </c>
      <c r="K20" s="6" t="n">
        <v>3</v>
      </c>
      <c r="L20" s="6" t="n">
        <v>5</v>
      </c>
      <c r="M20" s="6" t="n">
        <v>10</v>
      </c>
      <c r="N20" s="6" t="n">
        <v>58</v>
      </c>
      <c r="O20" s="6" t="n">
        <v>7</v>
      </c>
      <c r="P20" s="6" t="n">
        <v>9</v>
      </c>
      <c r="Q20" s="6" t="n">
        <v>10</v>
      </c>
      <c r="R20" s="6" t="n">
        <v>9</v>
      </c>
      <c r="S20" s="6" t="n">
        <v>10</v>
      </c>
      <c r="T20" s="6" t="n">
        <v>10</v>
      </c>
      <c r="U20" s="6" t="n">
        <v>10</v>
      </c>
      <c r="V20" s="6" t="n">
        <v>6</v>
      </c>
      <c r="W20" s="6" t="n">
        <v>71</v>
      </c>
      <c r="X20" s="7" t="n">
        <f aca="false">N20/(N20+W20)</f>
        <v>0.449612403100775</v>
      </c>
    </row>
    <row r="21" customFormat="false" ht="12.8" hidden="false" customHeight="false" outlineLevel="0" collapsed="false">
      <c r="A21" s="1" t="n">
        <v>20</v>
      </c>
      <c r="B21" s="4" t="s">
        <v>24</v>
      </c>
      <c r="C21" s="6" t="n">
        <f aca="false">COUNTIF(F21:M21,10)</f>
        <v>3</v>
      </c>
      <c r="D21" s="6" t="n">
        <f aca="false">COUNTIF(O21:V21,10)</f>
        <v>4</v>
      </c>
      <c r="E21" s="7" t="n">
        <f aca="false">C21/(C21+D21)</f>
        <v>0.428571428571429</v>
      </c>
      <c r="F21" s="6" t="s">
        <v>169</v>
      </c>
      <c r="G21" s="6" t="n">
        <v>3</v>
      </c>
      <c r="H21" s="6" t="n">
        <v>10</v>
      </c>
      <c r="I21" s="6" t="n">
        <v>5</v>
      </c>
      <c r="J21" s="6" t="n">
        <v>10</v>
      </c>
      <c r="K21" s="6" t="n">
        <v>6</v>
      </c>
      <c r="L21" s="6" t="n">
        <v>10</v>
      </c>
      <c r="M21" s="6" t="n">
        <v>5</v>
      </c>
      <c r="N21" s="6" t="n">
        <v>49</v>
      </c>
      <c r="O21" s="6" t="s">
        <v>170</v>
      </c>
      <c r="P21" s="6" t="n">
        <v>10</v>
      </c>
      <c r="Q21" s="6" t="n">
        <v>6</v>
      </c>
      <c r="R21" s="6" t="n">
        <v>10</v>
      </c>
      <c r="S21" s="6" t="n">
        <v>6</v>
      </c>
      <c r="T21" s="6" t="n">
        <v>10</v>
      </c>
      <c r="U21" s="6" t="n">
        <v>6</v>
      </c>
      <c r="V21" s="6" t="n">
        <v>10</v>
      </c>
      <c r="W21" s="6" t="n">
        <v>58</v>
      </c>
      <c r="X21" s="7" t="n">
        <f aca="false">N21/(N21+W21)</f>
        <v>0.457943925233645</v>
      </c>
    </row>
    <row r="22" customFormat="false" ht="12.8" hidden="false" customHeight="false" outlineLevel="0" collapsed="false">
      <c r="A22" s="1" t="n">
        <v>21</v>
      </c>
      <c r="B22" s="4" t="s">
        <v>25</v>
      </c>
      <c r="C22" s="6" t="n">
        <f aca="false">COUNTIF(F22:M22,10)</f>
        <v>5</v>
      </c>
      <c r="D22" s="6" t="n">
        <f aca="false">COUNTIF(O22:V22,10)</f>
        <v>3</v>
      </c>
      <c r="E22" s="7" t="n">
        <f aca="false">C22/(C22+D22)</f>
        <v>0.625</v>
      </c>
      <c r="F22" s="6" t="n">
        <v>6</v>
      </c>
      <c r="G22" s="6" t="n">
        <v>10</v>
      </c>
      <c r="H22" s="6" t="n">
        <v>10</v>
      </c>
      <c r="I22" s="6" t="n">
        <v>8</v>
      </c>
      <c r="J22" s="6" t="n">
        <v>7</v>
      </c>
      <c r="K22" s="6" t="n">
        <v>10</v>
      </c>
      <c r="L22" s="14" t="n">
        <v>10</v>
      </c>
      <c r="M22" s="6" t="n">
        <v>10</v>
      </c>
      <c r="N22" s="6" t="n">
        <v>71</v>
      </c>
      <c r="O22" s="6" t="n">
        <v>10</v>
      </c>
      <c r="P22" s="6" t="n">
        <v>6</v>
      </c>
      <c r="Q22" s="6" t="n">
        <v>4</v>
      </c>
      <c r="R22" s="6" t="n">
        <v>10</v>
      </c>
      <c r="S22" s="6" t="n">
        <v>10</v>
      </c>
      <c r="T22" s="6" t="n">
        <v>6</v>
      </c>
      <c r="U22" s="13" t="n">
        <v>4</v>
      </c>
      <c r="V22" s="6" t="n">
        <v>8</v>
      </c>
      <c r="W22" s="11" t="n">
        <v>58</v>
      </c>
      <c r="X22" s="12" t="n">
        <f aca="false">N22/(N22+W22)</f>
        <v>0.550387596899225</v>
      </c>
    </row>
    <row r="23" customFormat="false" ht="12.8" hidden="false" customHeight="false" outlineLevel="0" collapsed="false">
      <c r="A23" s="1" t="n">
        <v>22</v>
      </c>
      <c r="B23" s="4" t="s">
        <v>26</v>
      </c>
      <c r="C23" s="6" t="n">
        <f aca="false">COUNTIF(F23:M23,10)</f>
        <v>2</v>
      </c>
      <c r="D23" s="6" t="n">
        <f aca="false">COUNTIF(O23:V23,10)</f>
        <v>5</v>
      </c>
      <c r="E23" s="7" t="n">
        <f aca="false">C23/(C23+D23)</f>
        <v>0.285714285714286</v>
      </c>
      <c r="F23" s="6" t="n">
        <v>7</v>
      </c>
      <c r="G23" s="6" t="n">
        <v>5</v>
      </c>
      <c r="H23" s="6" t="n">
        <v>6</v>
      </c>
      <c r="I23" s="6" t="s">
        <v>169</v>
      </c>
      <c r="J23" s="6" t="n">
        <v>7</v>
      </c>
      <c r="K23" s="6" t="n">
        <v>5</v>
      </c>
      <c r="L23" s="6" t="n">
        <v>10</v>
      </c>
      <c r="M23" s="6" t="n">
        <v>10</v>
      </c>
      <c r="N23" s="6" t="n">
        <v>50</v>
      </c>
      <c r="O23" s="6" t="n">
        <v>10</v>
      </c>
      <c r="P23" s="6" t="n">
        <v>10</v>
      </c>
      <c r="Q23" s="6" t="n">
        <v>10</v>
      </c>
      <c r="R23" s="6" t="s">
        <v>169</v>
      </c>
      <c r="S23" s="6" t="n">
        <v>10</v>
      </c>
      <c r="T23" s="6" t="n">
        <v>10</v>
      </c>
      <c r="U23" s="6" t="n">
        <v>9</v>
      </c>
      <c r="V23" s="6" t="n">
        <v>9</v>
      </c>
      <c r="W23" s="6" t="n">
        <v>68</v>
      </c>
      <c r="X23" s="7" t="n">
        <f aca="false">N23/(N23+W23)</f>
        <v>0.423728813559322</v>
      </c>
    </row>
    <row r="24" customFormat="false" ht="12.8" hidden="false" customHeight="false" outlineLevel="0" collapsed="false">
      <c r="A24" s="1" t="n">
        <v>23</v>
      </c>
      <c r="B24" s="4" t="s">
        <v>27</v>
      </c>
      <c r="C24" s="6" t="n">
        <f aca="false">COUNTIF(F24:M24,10)</f>
        <v>4</v>
      </c>
      <c r="D24" s="6" t="n">
        <f aca="false">COUNTIF(O24:V24,10)</f>
        <v>3</v>
      </c>
      <c r="E24" s="7" t="n">
        <f aca="false">C24/(C24+D24)</f>
        <v>0.571428571428571</v>
      </c>
      <c r="F24" s="6" t="n">
        <v>7</v>
      </c>
      <c r="G24" s="6" t="n">
        <v>3</v>
      </c>
      <c r="H24" s="6" t="s">
        <v>169</v>
      </c>
      <c r="I24" s="6" t="n">
        <v>10</v>
      </c>
      <c r="J24" s="6" t="n">
        <v>10</v>
      </c>
      <c r="K24" s="6" t="n">
        <v>7</v>
      </c>
      <c r="L24" s="6" t="n">
        <v>10</v>
      </c>
      <c r="M24" s="6" t="n">
        <v>10</v>
      </c>
      <c r="N24" s="6" t="n">
        <v>57</v>
      </c>
      <c r="O24" s="6" t="n">
        <v>10</v>
      </c>
      <c r="P24" s="6" t="n">
        <v>10</v>
      </c>
      <c r="Q24" s="6" t="s">
        <v>169</v>
      </c>
      <c r="R24" s="6" t="n">
        <v>5</v>
      </c>
      <c r="S24" s="6" t="n">
        <v>7</v>
      </c>
      <c r="T24" s="6" t="n">
        <v>10</v>
      </c>
      <c r="U24" s="6" t="n">
        <v>7</v>
      </c>
      <c r="V24" s="6" t="n">
        <v>1</v>
      </c>
      <c r="W24" s="6" t="n">
        <v>50</v>
      </c>
      <c r="X24" s="7" t="n">
        <f aca="false">N24/(N24+W24)</f>
        <v>0.532710280373832</v>
      </c>
    </row>
    <row r="25" customFormat="false" ht="12.8" hidden="false" customHeight="false" outlineLevel="0" collapsed="false">
      <c r="A25" s="1" t="n">
        <v>24</v>
      </c>
      <c r="B25" s="5" t="s">
        <v>28</v>
      </c>
      <c r="C25" s="6" t="n">
        <f aca="false">COUNTIF(F25:M25,10)</f>
        <v>3</v>
      </c>
      <c r="D25" s="6" t="n">
        <f aca="false">COUNTIF(O25:V25,10)</f>
        <v>4</v>
      </c>
      <c r="E25" s="7" t="n">
        <f aca="false">C25/(C25+D25)</f>
        <v>0.428571428571429</v>
      </c>
      <c r="F25" s="6" t="n">
        <v>10</v>
      </c>
      <c r="G25" s="6" t="n">
        <v>10</v>
      </c>
      <c r="H25" s="6" t="n">
        <v>7</v>
      </c>
      <c r="I25" s="6" t="n">
        <v>7</v>
      </c>
      <c r="J25" s="6" t="n">
        <v>2</v>
      </c>
      <c r="K25" s="6" t="n">
        <v>10</v>
      </c>
      <c r="L25" s="6" t="s">
        <v>169</v>
      </c>
      <c r="M25" s="6" t="n">
        <v>6</v>
      </c>
      <c r="N25" s="6" t="n">
        <v>52</v>
      </c>
      <c r="O25" s="6" t="n">
        <v>6</v>
      </c>
      <c r="P25" s="6" t="n">
        <v>3</v>
      </c>
      <c r="Q25" s="6" t="n">
        <v>10</v>
      </c>
      <c r="R25" s="6" t="n">
        <v>10</v>
      </c>
      <c r="S25" s="6" t="n">
        <v>10</v>
      </c>
      <c r="T25" s="6" t="n">
        <v>5</v>
      </c>
      <c r="U25" s="6" t="s">
        <v>169</v>
      </c>
      <c r="V25" s="6" t="n">
        <v>10</v>
      </c>
      <c r="W25" s="6" t="n">
        <v>54</v>
      </c>
      <c r="X25" s="7" t="n">
        <f aca="false">N25/(N25+W25)</f>
        <v>0.490566037735849</v>
      </c>
    </row>
    <row r="26" customFormat="false" ht="12.8" hidden="false" customHeight="false" outlineLevel="0" collapsed="false">
      <c r="A26" s="1" t="n">
        <v>25</v>
      </c>
      <c r="B26" s="4" t="s">
        <v>29</v>
      </c>
      <c r="C26" s="6" t="n">
        <f aca="false">COUNTIF(F26:M26,10)</f>
        <v>1</v>
      </c>
      <c r="D26" s="6" t="n">
        <f aca="false">COUNTIF(O26:V26,10)</f>
        <v>6</v>
      </c>
      <c r="E26" s="7" t="n">
        <f aca="false">C26/(C26+D26)</f>
        <v>0.142857142857143</v>
      </c>
      <c r="F26" s="6" t="n">
        <v>8</v>
      </c>
      <c r="G26" s="6" t="n">
        <v>4</v>
      </c>
      <c r="H26" s="6" t="n">
        <v>6</v>
      </c>
      <c r="I26" s="6" t="n">
        <v>10</v>
      </c>
      <c r="J26" s="6" t="n">
        <v>7</v>
      </c>
      <c r="K26" s="6" t="s">
        <v>169</v>
      </c>
      <c r="L26" s="6" t="n">
        <v>7</v>
      </c>
      <c r="M26" s="6" t="n">
        <v>7</v>
      </c>
      <c r="N26" s="6" t="n">
        <v>49</v>
      </c>
      <c r="O26" s="6" t="n">
        <v>10</v>
      </c>
      <c r="P26" s="6" t="n">
        <v>10</v>
      </c>
      <c r="Q26" s="6" t="n">
        <v>10</v>
      </c>
      <c r="R26" s="6" t="n">
        <v>5</v>
      </c>
      <c r="S26" s="6" t="n">
        <v>10</v>
      </c>
      <c r="T26" s="6" t="s">
        <v>169</v>
      </c>
      <c r="U26" s="6" t="n">
        <v>10</v>
      </c>
      <c r="V26" s="6" t="n">
        <v>10</v>
      </c>
      <c r="W26" s="6" t="n">
        <v>65</v>
      </c>
      <c r="X26" s="7" t="n">
        <f aca="false">N26/(N26+W26)</f>
        <v>0.429824561403509</v>
      </c>
    </row>
    <row r="27" customFormat="false" ht="12.8" hidden="false" customHeight="false" outlineLevel="0" collapsed="false">
      <c r="A27" s="1" t="n">
        <v>26</v>
      </c>
      <c r="B27" s="5" t="s">
        <v>30</v>
      </c>
      <c r="C27" s="6" t="n">
        <f aca="false">COUNTIF(F27:M27,10)</f>
        <v>7</v>
      </c>
      <c r="D27" s="6" t="n">
        <f aca="false">COUNTIF(O27:V27,10)</f>
        <v>1</v>
      </c>
      <c r="E27" s="7" t="n">
        <f aca="false">C27/(C27+D27)</f>
        <v>0.875</v>
      </c>
      <c r="F27" s="6" t="n">
        <v>10</v>
      </c>
      <c r="G27" s="6" t="n">
        <v>6</v>
      </c>
      <c r="H27" s="6" t="n">
        <v>10</v>
      </c>
      <c r="I27" s="6" t="n">
        <v>10</v>
      </c>
      <c r="J27" s="6" t="n">
        <v>10</v>
      </c>
      <c r="K27" s="6" t="n">
        <v>10</v>
      </c>
      <c r="L27" s="6" t="n">
        <v>10</v>
      </c>
      <c r="M27" s="6" t="n">
        <v>10</v>
      </c>
      <c r="N27" s="6" t="n">
        <v>76</v>
      </c>
      <c r="O27" s="6" t="n">
        <v>2</v>
      </c>
      <c r="P27" s="6" t="n">
        <v>10</v>
      </c>
      <c r="Q27" s="6" t="n">
        <v>5</v>
      </c>
      <c r="R27" s="6" t="n">
        <v>5</v>
      </c>
      <c r="S27" s="6" t="n">
        <v>5</v>
      </c>
      <c r="T27" s="6" t="n">
        <v>4</v>
      </c>
      <c r="U27" s="6" t="n">
        <v>8</v>
      </c>
      <c r="V27" s="6" t="n">
        <v>9</v>
      </c>
      <c r="W27" s="6" t="n">
        <v>48</v>
      </c>
      <c r="X27" s="7" t="n">
        <f aca="false">N27/(N27+W27)</f>
        <v>0.612903225806452</v>
      </c>
    </row>
    <row r="28" customFormat="false" ht="12.8" hidden="false" customHeight="false" outlineLevel="0" collapsed="false">
      <c r="A28" s="1" t="n">
        <v>27</v>
      </c>
      <c r="B28" s="4" t="s">
        <v>31</v>
      </c>
      <c r="C28" s="6" t="n">
        <f aca="false">COUNTIF(F28:M28,10)</f>
        <v>2</v>
      </c>
      <c r="D28" s="6" t="n">
        <f aca="false">COUNTIF(O28:V28,10)</f>
        <v>5</v>
      </c>
      <c r="E28" s="7" t="n">
        <f aca="false">C28/(C28+D28)</f>
        <v>0.285714285714286</v>
      </c>
      <c r="F28" s="6" t="n">
        <v>8</v>
      </c>
      <c r="G28" s="6" t="n">
        <v>9</v>
      </c>
      <c r="H28" s="6" t="n">
        <v>10</v>
      </c>
      <c r="I28" s="6" t="s">
        <v>169</v>
      </c>
      <c r="J28" s="6" t="n">
        <v>7</v>
      </c>
      <c r="K28" s="6" t="n">
        <v>9</v>
      </c>
      <c r="L28" s="10" t="n">
        <v>7</v>
      </c>
      <c r="M28" s="6" t="n">
        <v>10</v>
      </c>
      <c r="N28" s="11" t="n">
        <v>60</v>
      </c>
      <c r="O28" s="6" t="n">
        <v>10</v>
      </c>
      <c r="P28" s="6" t="n">
        <v>10</v>
      </c>
      <c r="Q28" s="6" t="n">
        <v>0</v>
      </c>
      <c r="R28" s="6" t="s">
        <v>169</v>
      </c>
      <c r="S28" s="6" t="n">
        <v>10</v>
      </c>
      <c r="T28" s="6" t="n">
        <v>10</v>
      </c>
      <c r="U28" s="9" t="n">
        <v>10</v>
      </c>
      <c r="V28" s="6" t="n">
        <v>5</v>
      </c>
      <c r="W28" s="11" t="n">
        <v>55</v>
      </c>
      <c r="X28" s="12" t="n">
        <f aca="false">N28/(N28+W28)</f>
        <v>0.521739130434783</v>
      </c>
    </row>
    <row r="29" customFormat="false" ht="12.8" hidden="false" customHeight="false" outlineLevel="0" collapsed="false">
      <c r="A29" s="1" t="n">
        <v>28</v>
      </c>
      <c r="B29" s="4" t="s">
        <v>32</v>
      </c>
      <c r="C29" s="6" t="n">
        <f aca="false">COUNTIF(F29:M29,10)</f>
        <v>4</v>
      </c>
      <c r="D29" s="6" t="n">
        <f aca="false">COUNTIF(O29:V29,10)</f>
        <v>4</v>
      </c>
      <c r="E29" s="7" t="n">
        <f aca="false">C29/(C29+D29)</f>
        <v>0.5</v>
      </c>
      <c r="F29" s="6" t="n">
        <v>8</v>
      </c>
      <c r="G29" s="6" t="n">
        <v>10</v>
      </c>
      <c r="H29" s="6" t="n">
        <v>7</v>
      </c>
      <c r="I29" s="6" t="n">
        <v>5</v>
      </c>
      <c r="J29" s="6" t="n">
        <v>10</v>
      </c>
      <c r="K29" s="6" t="n">
        <v>10</v>
      </c>
      <c r="L29" s="6" t="n">
        <v>2</v>
      </c>
      <c r="M29" s="6" t="n">
        <v>10</v>
      </c>
      <c r="N29" s="6" t="n">
        <v>62</v>
      </c>
      <c r="O29" s="6" t="n">
        <v>10</v>
      </c>
      <c r="P29" s="6" t="n">
        <v>5</v>
      </c>
      <c r="Q29" s="6" t="n">
        <v>10</v>
      </c>
      <c r="R29" s="6" t="n">
        <v>10</v>
      </c>
      <c r="S29" s="6" t="n">
        <v>7</v>
      </c>
      <c r="T29" s="6" t="n">
        <v>6</v>
      </c>
      <c r="U29" s="6" t="n">
        <v>10</v>
      </c>
      <c r="V29" s="6" t="n">
        <v>4</v>
      </c>
      <c r="W29" s="6" t="n">
        <v>62</v>
      </c>
      <c r="X29" s="7" t="n">
        <f aca="false">N29/(N29+W29)</f>
        <v>0.5</v>
      </c>
    </row>
    <row r="30" customFormat="false" ht="12.8" hidden="false" customHeight="false" outlineLevel="0" collapsed="false">
      <c r="A30" s="1" t="n">
        <v>29</v>
      </c>
      <c r="B30" s="5" t="s">
        <v>33</v>
      </c>
      <c r="C30" s="6" t="n">
        <f aca="false">COUNTIF(F30:M30,10)</f>
        <v>1</v>
      </c>
      <c r="D30" s="6" t="n">
        <f aca="false">COUNTIF(O30:V30,10)</f>
        <v>6</v>
      </c>
      <c r="E30" s="7" t="n">
        <f aca="false">C30/(C30+D30)</f>
        <v>0.142857142857143</v>
      </c>
      <c r="F30" s="6" t="n">
        <v>8</v>
      </c>
      <c r="G30" s="6" t="n">
        <v>9</v>
      </c>
      <c r="H30" s="6" t="n">
        <v>3</v>
      </c>
      <c r="I30" s="6" t="n">
        <v>7</v>
      </c>
      <c r="J30" s="6" t="s">
        <v>169</v>
      </c>
      <c r="K30" s="6" t="n">
        <v>10</v>
      </c>
      <c r="L30" s="6" t="n">
        <v>2</v>
      </c>
      <c r="M30" s="6" t="n">
        <v>8</v>
      </c>
      <c r="N30" s="6" t="n">
        <v>47</v>
      </c>
      <c r="O30" s="6" t="n">
        <v>10</v>
      </c>
      <c r="P30" s="6" t="n">
        <v>10</v>
      </c>
      <c r="Q30" s="6" t="n">
        <v>10</v>
      </c>
      <c r="R30" s="6" t="n">
        <v>10</v>
      </c>
      <c r="S30" s="6" t="s">
        <v>169</v>
      </c>
      <c r="T30" s="6" t="n">
        <v>6</v>
      </c>
      <c r="U30" s="6" t="n">
        <v>10</v>
      </c>
      <c r="V30" s="6" t="n">
        <v>10</v>
      </c>
      <c r="W30" s="6" t="n">
        <v>66</v>
      </c>
      <c r="X30" s="7" t="n">
        <f aca="false">N30/(N30+W30)</f>
        <v>0.415929203539823</v>
      </c>
    </row>
    <row r="31" customFormat="false" ht="12.8" hidden="false" customHeight="false" outlineLevel="0" collapsed="false">
      <c r="A31" s="1" t="n">
        <v>30</v>
      </c>
      <c r="B31" s="5" t="s">
        <v>34</v>
      </c>
      <c r="C31" s="6" t="n">
        <f aca="false">COUNTIF(F31:M31,10)</f>
        <v>4</v>
      </c>
      <c r="D31" s="6" t="n">
        <f aca="false">COUNTIF(O31:V31,10)</f>
        <v>4</v>
      </c>
      <c r="E31" s="7" t="n">
        <f aca="false">C31/(C31+D31)</f>
        <v>0.5</v>
      </c>
      <c r="F31" s="6" t="n">
        <v>10</v>
      </c>
      <c r="G31" s="6" t="n">
        <v>6</v>
      </c>
      <c r="H31" s="6" t="n">
        <v>10</v>
      </c>
      <c r="I31" s="6" t="n">
        <v>5</v>
      </c>
      <c r="J31" s="6" t="n">
        <v>6</v>
      </c>
      <c r="K31" s="6" t="n">
        <v>7</v>
      </c>
      <c r="L31" s="6" t="n">
        <v>10</v>
      </c>
      <c r="M31" s="6" t="n">
        <v>10</v>
      </c>
      <c r="N31" s="6" t="n">
        <v>64</v>
      </c>
      <c r="O31" s="6" t="n">
        <v>4</v>
      </c>
      <c r="P31" s="6" t="n">
        <v>10</v>
      </c>
      <c r="Q31" s="6" t="n">
        <v>0</v>
      </c>
      <c r="R31" s="6" t="n">
        <v>10</v>
      </c>
      <c r="S31" s="6" t="n">
        <v>10</v>
      </c>
      <c r="T31" s="6" t="n">
        <v>10</v>
      </c>
      <c r="U31" s="6" t="n">
        <v>2</v>
      </c>
      <c r="V31" s="6" t="n">
        <v>4</v>
      </c>
      <c r="W31" s="6" t="n">
        <v>50</v>
      </c>
      <c r="X31" s="7" t="n">
        <f aca="false">N31/(N31+W31)</f>
        <v>0.56140350877193</v>
      </c>
    </row>
    <row r="32" customFormat="false" ht="12.8" hidden="false" customHeight="false" outlineLevel="0" collapsed="false">
      <c r="A32" s="1" t="n">
        <v>31</v>
      </c>
      <c r="B32" s="4" t="s">
        <v>35</v>
      </c>
      <c r="C32" s="6" t="n">
        <f aca="false">COUNTIF(F32:M32,10)</f>
        <v>2</v>
      </c>
      <c r="D32" s="6" t="n">
        <f aca="false">COUNTIF(O32:V32,10)</f>
        <v>6</v>
      </c>
      <c r="E32" s="7" t="n">
        <f aca="false">C32/(C32+D32)</f>
        <v>0.25</v>
      </c>
      <c r="F32" s="6" t="n">
        <v>10</v>
      </c>
      <c r="G32" s="6" t="n">
        <v>4</v>
      </c>
      <c r="H32" s="6" t="n">
        <v>10</v>
      </c>
      <c r="I32" s="6" t="n">
        <v>2</v>
      </c>
      <c r="J32" s="6" t="n">
        <v>5</v>
      </c>
      <c r="K32" s="6" t="n">
        <v>6</v>
      </c>
      <c r="L32" s="10" t="n">
        <v>7</v>
      </c>
      <c r="M32" s="6" t="n">
        <v>6</v>
      </c>
      <c r="N32" s="11" t="n">
        <v>50</v>
      </c>
      <c r="O32" s="6" t="n">
        <v>9</v>
      </c>
      <c r="P32" s="6" t="n">
        <v>10</v>
      </c>
      <c r="Q32" s="6" t="n">
        <v>7</v>
      </c>
      <c r="R32" s="6" t="n">
        <v>10</v>
      </c>
      <c r="S32" s="6" t="n">
        <v>10</v>
      </c>
      <c r="T32" s="6" t="n">
        <v>10</v>
      </c>
      <c r="U32" s="9" t="n">
        <v>10</v>
      </c>
      <c r="V32" s="6" t="n">
        <v>10</v>
      </c>
      <c r="W32" s="6" t="n">
        <v>76</v>
      </c>
      <c r="X32" s="12" t="n">
        <f aca="false">N32/(N32+W32)</f>
        <v>0.396825396825397</v>
      </c>
    </row>
    <row r="33" customFormat="false" ht="12.8" hidden="false" customHeight="false" outlineLevel="0" collapsed="false">
      <c r="A33" s="1" t="n">
        <v>32</v>
      </c>
      <c r="B33" s="5" t="s">
        <v>36</v>
      </c>
      <c r="C33" s="6" t="n">
        <f aca="false">COUNTIF(F33:M33,10)</f>
        <v>7</v>
      </c>
      <c r="D33" s="6" t="n">
        <f aca="false">COUNTIF(O33:V33,10)</f>
        <v>1</v>
      </c>
      <c r="E33" s="7" t="n">
        <f aca="false">C33/(C33+D33)</f>
        <v>0.875</v>
      </c>
      <c r="F33" s="6" t="n">
        <v>10</v>
      </c>
      <c r="G33" s="6" t="n">
        <v>10</v>
      </c>
      <c r="H33" s="6" t="n">
        <v>10</v>
      </c>
      <c r="I33" s="6" t="n">
        <v>10</v>
      </c>
      <c r="J33" s="6" t="n">
        <v>10</v>
      </c>
      <c r="K33" s="6" t="n">
        <v>3</v>
      </c>
      <c r="L33" s="6" t="n">
        <v>10</v>
      </c>
      <c r="M33" s="6" t="n">
        <v>10</v>
      </c>
      <c r="N33" s="6" t="n">
        <v>73</v>
      </c>
      <c r="O33" s="6" t="n">
        <v>2</v>
      </c>
      <c r="P33" s="6" t="n">
        <v>3</v>
      </c>
      <c r="Q33" s="6" t="n">
        <v>6</v>
      </c>
      <c r="R33" s="6" t="n">
        <v>2</v>
      </c>
      <c r="S33" s="6" t="n">
        <v>7</v>
      </c>
      <c r="T33" s="6" t="n">
        <v>10</v>
      </c>
      <c r="U33" s="6" t="n">
        <v>4</v>
      </c>
      <c r="V33" s="6" t="n">
        <v>4</v>
      </c>
      <c r="W33" s="6" t="n">
        <v>38</v>
      </c>
      <c r="X33" s="7" t="n">
        <f aca="false">N33/(N33+W33)</f>
        <v>0.657657657657658</v>
      </c>
    </row>
    <row r="34" customFormat="false" ht="12.8" hidden="false" customHeight="false" outlineLevel="0" collapsed="false">
      <c r="A34" s="1" t="n">
        <v>33</v>
      </c>
      <c r="B34" s="4" t="s">
        <v>37</v>
      </c>
      <c r="C34" s="6" t="n">
        <f aca="false">COUNTIF(F34:M34,10)</f>
        <v>5</v>
      </c>
      <c r="D34" s="6" t="n">
        <f aca="false">COUNTIF(O34:V34,10)</f>
        <v>3</v>
      </c>
      <c r="E34" s="7" t="n">
        <f aca="false">C34/(C34+D34)</f>
        <v>0.625</v>
      </c>
      <c r="F34" s="6" t="n">
        <v>10</v>
      </c>
      <c r="G34" s="6" t="n">
        <v>8</v>
      </c>
      <c r="H34" s="6" t="n">
        <v>10</v>
      </c>
      <c r="I34" s="6" t="n">
        <v>10</v>
      </c>
      <c r="J34" s="6" t="n">
        <v>10</v>
      </c>
      <c r="K34" s="6" t="n">
        <v>4</v>
      </c>
      <c r="L34" s="6" t="n">
        <v>2</v>
      </c>
      <c r="M34" s="6" t="n">
        <v>10</v>
      </c>
      <c r="N34" s="6" t="n">
        <v>64</v>
      </c>
      <c r="O34" s="6" t="n">
        <v>4</v>
      </c>
      <c r="P34" s="6" t="n">
        <v>10</v>
      </c>
      <c r="Q34" s="6" t="n">
        <v>4</v>
      </c>
      <c r="R34" s="6" t="n">
        <v>5</v>
      </c>
      <c r="S34" s="6" t="n">
        <v>7</v>
      </c>
      <c r="T34" s="6" t="n">
        <v>10</v>
      </c>
      <c r="U34" s="6" t="n">
        <v>10</v>
      </c>
      <c r="V34" s="6" t="n">
        <v>5</v>
      </c>
      <c r="W34" s="6" t="n">
        <v>55</v>
      </c>
      <c r="X34" s="7" t="n">
        <f aca="false">N34/(N34+W34)</f>
        <v>0.53781512605042</v>
      </c>
    </row>
    <row r="35" customFormat="false" ht="12.8" hidden="false" customHeight="false" outlineLevel="0" collapsed="false">
      <c r="A35" s="1" t="n">
        <v>34</v>
      </c>
      <c r="B35" s="4" t="s">
        <v>38</v>
      </c>
      <c r="C35" s="6" t="n">
        <f aca="false">COUNTIF(F35:M35,10)</f>
        <v>5</v>
      </c>
      <c r="D35" s="6" t="n">
        <f aca="false">COUNTIF(O35:V35,10)</f>
        <v>3</v>
      </c>
      <c r="E35" s="7" t="n">
        <f aca="false">C35/(C35+D35)</f>
        <v>0.625</v>
      </c>
      <c r="F35" s="6" t="n">
        <v>10</v>
      </c>
      <c r="G35" s="6" t="n">
        <v>10</v>
      </c>
      <c r="H35" s="6" t="n">
        <v>10</v>
      </c>
      <c r="I35" s="6" t="n">
        <v>8</v>
      </c>
      <c r="J35" s="6" t="n">
        <v>5</v>
      </c>
      <c r="K35" s="6" t="n">
        <v>10</v>
      </c>
      <c r="L35" s="6" t="n">
        <v>10</v>
      </c>
      <c r="M35" s="6" t="n">
        <v>1</v>
      </c>
      <c r="N35" s="6" t="n">
        <v>64</v>
      </c>
      <c r="O35" s="6" t="n">
        <v>4</v>
      </c>
      <c r="P35" s="6" t="n">
        <v>8</v>
      </c>
      <c r="Q35" s="6" t="n">
        <v>6</v>
      </c>
      <c r="R35" s="6" t="n">
        <v>10</v>
      </c>
      <c r="S35" s="6" t="n">
        <v>10</v>
      </c>
      <c r="T35" s="6" t="n">
        <v>3</v>
      </c>
      <c r="U35" s="6" t="n">
        <v>2</v>
      </c>
      <c r="V35" s="6" t="n">
        <v>10</v>
      </c>
      <c r="W35" s="6" t="n">
        <v>53</v>
      </c>
      <c r="X35" s="7" t="n">
        <f aca="false">N35/(N35+W35)</f>
        <v>0.547008547008547</v>
      </c>
    </row>
    <row r="36" customFormat="false" ht="12.8" hidden="false" customHeight="false" outlineLevel="0" collapsed="false">
      <c r="A36" s="1" t="n">
        <v>35</v>
      </c>
      <c r="B36" s="4" t="s">
        <v>39</v>
      </c>
      <c r="C36" s="6" t="n">
        <f aca="false">COUNTIF(F36:M36,10)</f>
        <v>6</v>
      </c>
      <c r="D36" s="6" t="n">
        <f aca="false">COUNTIF(O36:V36,10)</f>
        <v>2</v>
      </c>
      <c r="E36" s="7" t="n">
        <f aca="false">C36/(C36+D36)</f>
        <v>0.75</v>
      </c>
      <c r="F36" s="6" t="n">
        <v>6</v>
      </c>
      <c r="G36" s="6" t="n">
        <v>10</v>
      </c>
      <c r="H36" s="6" t="n">
        <v>10</v>
      </c>
      <c r="I36" s="6" t="n">
        <v>10</v>
      </c>
      <c r="J36" s="6" t="n">
        <v>10</v>
      </c>
      <c r="K36" s="6" t="n">
        <v>4</v>
      </c>
      <c r="L36" s="14" t="n">
        <v>10</v>
      </c>
      <c r="M36" s="6" t="n">
        <v>10</v>
      </c>
      <c r="N36" s="6" t="n">
        <v>70</v>
      </c>
      <c r="O36" s="6" t="n">
        <v>10</v>
      </c>
      <c r="P36" s="6" t="n">
        <v>5</v>
      </c>
      <c r="Q36" s="6" t="n">
        <v>7</v>
      </c>
      <c r="R36" s="6" t="n">
        <v>7</v>
      </c>
      <c r="S36" s="6" t="n">
        <v>7</v>
      </c>
      <c r="T36" s="6" t="n">
        <v>10</v>
      </c>
      <c r="U36" s="13" t="n">
        <v>4</v>
      </c>
      <c r="V36" s="6" t="n">
        <v>5</v>
      </c>
      <c r="W36" s="11" t="n">
        <v>55</v>
      </c>
      <c r="X36" s="12" t="n">
        <f aca="false">N36/(N36+W36)</f>
        <v>0.56</v>
      </c>
    </row>
    <row r="37" customFormat="false" ht="12.8" hidden="false" customHeight="false" outlineLevel="0" collapsed="false">
      <c r="A37" s="1" t="n">
        <v>36</v>
      </c>
      <c r="B37" s="5" t="s">
        <v>40</v>
      </c>
      <c r="C37" s="6" t="n">
        <f aca="false">COUNTIF(F37:M37,10)</f>
        <v>4</v>
      </c>
      <c r="D37" s="6" t="n">
        <f aca="false">COUNTIF(O37:V37,10)</f>
        <v>3</v>
      </c>
      <c r="E37" s="7" t="n">
        <f aca="false">C37/(C37+D37)</f>
        <v>0.571428571428571</v>
      </c>
      <c r="F37" s="6" t="n">
        <v>6</v>
      </c>
      <c r="G37" s="6" t="n">
        <v>10</v>
      </c>
      <c r="H37" s="6" t="n">
        <v>0</v>
      </c>
      <c r="I37" s="6" t="n">
        <v>10</v>
      </c>
      <c r="J37" s="6" t="s">
        <v>169</v>
      </c>
      <c r="K37" s="6" t="n">
        <v>10</v>
      </c>
      <c r="L37" s="6" t="n">
        <v>7</v>
      </c>
      <c r="M37" s="6" t="n">
        <v>10</v>
      </c>
      <c r="N37" s="6" t="n">
        <v>53</v>
      </c>
      <c r="O37" s="6" t="n">
        <v>10</v>
      </c>
      <c r="P37" s="6" t="n">
        <v>8</v>
      </c>
      <c r="Q37" s="6" t="n">
        <v>10</v>
      </c>
      <c r="R37" s="6" t="n">
        <v>2</v>
      </c>
      <c r="S37" s="6" t="s">
        <v>169</v>
      </c>
      <c r="T37" s="6" t="n">
        <v>5</v>
      </c>
      <c r="U37" s="6" t="n">
        <v>10</v>
      </c>
      <c r="V37" s="6" t="n">
        <v>4</v>
      </c>
      <c r="W37" s="6" t="n">
        <v>49</v>
      </c>
      <c r="X37" s="7" t="n">
        <f aca="false">N37/(N37+W37)</f>
        <v>0.519607843137255</v>
      </c>
    </row>
    <row r="38" customFormat="false" ht="12.8" hidden="false" customHeight="false" outlineLevel="0" collapsed="false">
      <c r="A38" s="1" t="n">
        <v>37</v>
      </c>
      <c r="B38" s="4" t="s">
        <v>41</v>
      </c>
      <c r="C38" s="6" t="n">
        <f aca="false">COUNTIF(F38:M38,10)</f>
        <v>3</v>
      </c>
      <c r="D38" s="6" t="n">
        <f aca="false">COUNTIF(O38:V38,10)</f>
        <v>4</v>
      </c>
      <c r="E38" s="7" t="n">
        <f aca="false">C38/(C38+D38)</f>
        <v>0.428571428571429</v>
      </c>
      <c r="F38" s="6" t="n">
        <v>2</v>
      </c>
      <c r="G38" s="6" t="n">
        <v>10</v>
      </c>
      <c r="H38" s="6" t="s">
        <v>169</v>
      </c>
      <c r="I38" s="6" t="n">
        <v>10</v>
      </c>
      <c r="J38" s="6" t="n">
        <v>7</v>
      </c>
      <c r="K38" s="6" t="n">
        <v>9</v>
      </c>
      <c r="L38" s="6" t="n">
        <v>10</v>
      </c>
      <c r="M38" s="6" t="n">
        <v>5</v>
      </c>
      <c r="N38" s="6" t="n">
        <v>53</v>
      </c>
      <c r="O38" s="6" t="n">
        <v>10</v>
      </c>
      <c r="P38" s="6" t="n">
        <v>4</v>
      </c>
      <c r="Q38" s="6" t="s">
        <v>169</v>
      </c>
      <c r="R38" s="6" t="n">
        <v>7</v>
      </c>
      <c r="S38" s="6" t="n">
        <v>10</v>
      </c>
      <c r="T38" s="6" t="n">
        <v>10</v>
      </c>
      <c r="U38" s="6" t="n">
        <v>5</v>
      </c>
      <c r="V38" s="6" t="n">
        <v>10</v>
      </c>
      <c r="W38" s="6" t="n">
        <v>56</v>
      </c>
      <c r="X38" s="7" t="n">
        <f aca="false">N38/(N38+W38)</f>
        <v>0.486238532110092</v>
      </c>
    </row>
    <row r="39" customFormat="false" ht="12.8" hidden="false" customHeight="false" outlineLevel="0" collapsed="false">
      <c r="A39" s="1" t="n">
        <v>38</v>
      </c>
      <c r="B39" s="5" t="s">
        <v>42</v>
      </c>
      <c r="C39" s="6" t="n">
        <f aca="false">COUNTIF(F39:M39,10)</f>
        <v>3</v>
      </c>
      <c r="D39" s="6" t="n">
        <f aca="false">COUNTIF(O39:V39,10)</f>
        <v>4</v>
      </c>
      <c r="E39" s="7" t="n">
        <f aca="false">C39/(C39+D39)</f>
        <v>0.428571428571429</v>
      </c>
      <c r="F39" s="6" t="n">
        <v>2</v>
      </c>
      <c r="G39" s="6" t="s">
        <v>169</v>
      </c>
      <c r="H39" s="6" t="n">
        <v>10</v>
      </c>
      <c r="I39" s="6" t="n">
        <v>5</v>
      </c>
      <c r="J39" s="6" t="n">
        <v>2</v>
      </c>
      <c r="K39" s="6" t="n">
        <v>6</v>
      </c>
      <c r="L39" s="6" t="n">
        <v>10</v>
      </c>
      <c r="M39" s="6" t="n">
        <v>10</v>
      </c>
      <c r="N39" s="6" t="n">
        <v>45</v>
      </c>
      <c r="O39" s="6" t="n">
        <v>10</v>
      </c>
      <c r="P39" s="6" t="s">
        <v>169</v>
      </c>
      <c r="Q39" s="6" t="n">
        <v>6</v>
      </c>
      <c r="R39" s="11" t="n">
        <v>10</v>
      </c>
      <c r="S39" s="6" t="n">
        <v>10</v>
      </c>
      <c r="T39" s="6" t="n">
        <v>10</v>
      </c>
      <c r="U39" s="6" t="n">
        <v>6</v>
      </c>
      <c r="V39" s="6" t="n">
        <v>5</v>
      </c>
      <c r="W39" s="11" t="n">
        <v>57</v>
      </c>
      <c r="X39" s="12" t="n">
        <f aca="false">N39/(N39+W39)</f>
        <v>0.441176470588235</v>
      </c>
    </row>
    <row r="40" customFormat="false" ht="12.8" hidden="false" customHeight="false" outlineLevel="0" collapsed="false">
      <c r="A40" s="1" t="n">
        <v>39</v>
      </c>
      <c r="B40" s="4" t="s">
        <v>43</v>
      </c>
      <c r="C40" s="6" t="n">
        <f aca="false">COUNTIF(F40:M40,10)</f>
        <v>4</v>
      </c>
      <c r="D40" s="6" t="n">
        <f aca="false">COUNTIF(O40:V40,10)</f>
        <v>3</v>
      </c>
      <c r="E40" s="7" t="n">
        <f aca="false">C40/(C40+D40)</f>
        <v>0.571428571428571</v>
      </c>
      <c r="F40" s="6" t="n">
        <v>10</v>
      </c>
      <c r="G40" s="6" t="n">
        <v>7</v>
      </c>
      <c r="H40" s="6" t="n">
        <v>3</v>
      </c>
      <c r="I40" s="6" t="n">
        <v>10</v>
      </c>
      <c r="J40" s="6" t="n">
        <v>10</v>
      </c>
      <c r="K40" s="6" t="n">
        <v>0</v>
      </c>
      <c r="L40" s="6" t="n">
        <v>10</v>
      </c>
      <c r="M40" s="6" t="s">
        <v>169</v>
      </c>
      <c r="N40" s="6" t="n">
        <v>50</v>
      </c>
      <c r="O40" s="6" t="n">
        <v>6</v>
      </c>
      <c r="P40" s="6" t="n">
        <v>10</v>
      </c>
      <c r="Q40" s="6" t="n">
        <v>10</v>
      </c>
      <c r="R40" s="6" t="n">
        <v>5</v>
      </c>
      <c r="S40" s="6" t="n">
        <v>6</v>
      </c>
      <c r="T40" s="6" t="n">
        <v>10</v>
      </c>
      <c r="U40" s="6" t="n">
        <v>5</v>
      </c>
      <c r="V40" s="6" t="s">
        <v>169</v>
      </c>
      <c r="W40" s="6" t="n">
        <v>52</v>
      </c>
      <c r="X40" s="7" t="n">
        <f aca="false">N40/(N40+W40)</f>
        <v>0.490196078431373</v>
      </c>
    </row>
    <row r="41" customFormat="false" ht="12.8" hidden="false" customHeight="false" outlineLevel="0" collapsed="false">
      <c r="A41" s="1" t="n">
        <v>40</v>
      </c>
      <c r="B41" s="4" t="s">
        <v>44</v>
      </c>
      <c r="C41" s="6" t="n">
        <f aca="false">COUNTIF(F41:M41,10)</f>
        <v>3</v>
      </c>
      <c r="D41" s="6" t="n">
        <f aca="false">COUNTIF(O41:V41,10)</f>
        <v>5</v>
      </c>
      <c r="E41" s="7" t="n">
        <f aca="false">C41/(C41+D41)</f>
        <v>0.375</v>
      </c>
      <c r="F41" s="6" t="n">
        <v>10</v>
      </c>
      <c r="G41" s="6" t="n">
        <v>10</v>
      </c>
      <c r="H41" s="6" t="n">
        <v>0</v>
      </c>
      <c r="I41" s="6" t="n">
        <v>8</v>
      </c>
      <c r="J41" s="6" t="n">
        <v>7</v>
      </c>
      <c r="K41" s="6" t="n">
        <v>0</v>
      </c>
      <c r="L41" s="6" t="n">
        <v>10</v>
      </c>
      <c r="M41" s="6" t="n">
        <v>1</v>
      </c>
      <c r="N41" s="6" t="n">
        <v>46</v>
      </c>
      <c r="O41" s="6" t="n">
        <v>9</v>
      </c>
      <c r="P41" s="6" t="n">
        <v>3</v>
      </c>
      <c r="Q41" s="6" t="n">
        <v>10</v>
      </c>
      <c r="R41" s="6" t="n">
        <v>10</v>
      </c>
      <c r="S41" s="6" t="n">
        <v>10</v>
      </c>
      <c r="T41" s="6" t="n">
        <v>10</v>
      </c>
      <c r="U41" s="6" t="n">
        <v>9</v>
      </c>
      <c r="V41" s="6" t="n">
        <v>10</v>
      </c>
      <c r="W41" s="6" t="n">
        <v>71</v>
      </c>
      <c r="X41" s="7" t="n">
        <f aca="false">N41/(N41+W41)</f>
        <v>0.393162393162393</v>
      </c>
    </row>
    <row r="42" customFormat="false" ht="12.8" hidden="false" customHeight="false" outlineLevel="0" collapsed="false">
      <c r="A42" s="1" t="n">
        <v>41</v>
      </c>
      <c r="B42" s="4" t="s">
        <v>45</v>
      </c>
      <c r="C42" s="6" t="n">
        <f aca="false">COUNTIF(F42:M42,10)</f>
        <v>4</v>
      </c>
      <c r="D42" s="6" t="n">
        <f aca="false">COUNTIF(O42:V42,10)</f>
        <v>3</v>
      </c>
      <c r="E42" s="7" t="n">
        <f aca="false">C42/(C42+D42)</f>
        <v>0.571428571428571</v>
      </c>
      <c r="F42" s="6" t="n">
        <v>10</v>
      </c>
      <c r="G42" s="6" t="n">
        <v>10</v>
      </c>
      <c r="H42" s="6" t="n">
        <v>10</v>
      </c>
      <c r="I42" s="6" t="n">
        <v>5</v>
      </c>
      <c r="J42" s="6" t="n">
        <v>9</v>
      </c>
      <c r="K42" s="6" t="n">
        <v>10</v>
      </c>
      <c r="L42" s="6" t="s">
        <v>169</v>
      </c>
      <c r="M42" s="6" t="n">
        <v>8</v>
      </c>
      <c r="N42" s="6" t="n">
        <v>62</v>
      </c>
      <c r="O42" s="6" t="n">
        <v>6</v>
      </c>
      <c r="P42" s="6" t="n">
        <v>4</v>
      </c>
      <c r="Q42" s="6" t="n">
        <v>9</v>
      </c>
      <c r="R42" s="6" t="n">
        <v>10</v>
      </c>
      <c r="S42" s="6" t="n">
        <v>10</v>
      </c>
      <c r="T42" s="6" t="n">
        <v>3</v>
      </c>
      <c r="U42" s="6" t="s">
        <v>169</v>
      </c>
      <c r="V42" s="6" t="n">
        <v>10</v>
      </c>
      <c r="W42" s="6" t="n">
        <v>52</v>
      </c>
      <c r="X42" s="7" t="n">
        <f aca="false">N42/(N42+W42)</f>
        <v>0.543859649122807</v>
      </c>
    </row>
    <row r="43" customFormat="false" ht="12.8" hidden="false" customHeight="false" outlineLevel="0" collapsed="false">
      <c r="A43" s="1" t="n">
        <v>42</v>
      </c>
      <c r="B43" s="4" t="s">
        <v>46</v>
      </c>
      <c r="C43" s="6" t="n">
        <f aca="false">COUNTIF(F43:M43,10)</f>
        <v>6</v>
      </c>
      <c r="D43" s="6" t="n">
        <f aca="false">COUNTIF(O43:V43,10)</f>
        <v>1</v>
      </c>
      <c r="E43" s="7" t="n">
        <f aca="false">C43/(C43+D43)</f>
        <v>0.857142857142857</v>
      </c>
      <c r="F43" s="6" t="n">
        <v>10</v>
      </c>
      <c r="G43" s="6" t="n">
        <v>10</v>
      </c>
      <c r="H43" s="6" t="n">
        <v>10</v>
      </c>
      <c r="I43" s="6" t="n">
        <v>10</v>
      </c>
      <c r="J43" s="6" t="n">
        <v>9</v>
      </c>
      <c r="K43" s="6" t="n">
        <v>10</v>
      </c>
      <c r="L43" s="6" t="n">
        <v>10</v>
      </c>
      <c r="M43" s="6" t="s">
        <v>169</v>
      </c>
      <c r="N43" s="6" t="n">
        <v>69</v>
      </c>
      <c r="O43" s="6" t="n">
        <v>6</v>
      </c>
      <c r="P43" s="6" t="n">
        <v>3</v>
      </c>
      <c r="Q43" s="6" t="n">
        <v>5</v>
      </c>
      <c r="R43" s="6" t="n">
        <v>5</v>
      </c>
      <c r="S43" s="6" t="n">
        <v>10</v>
      </c>
      <c r="T43" s="6" t="n">
        <v>5</v>
      </c>
      <c r="U43" s="6" t="n">
        <v>8</v>
      </c>
      <c r="V43" s="6" t="s">
        <v>169</v>
      </c>
      <c r="W43" s="6" t="n">
        <v>42</v>
      </c>
      <c r="X43" s="7" t="n">
        <f aca="false">N43/(N43+W43)</f>
        <v>0.621621621621622</v>
      </c>
    </row>
    <row r="45" customFormat="false" ht="12.8" hidden="false" customHeight="false" outlineLevel="0" collapsed="false">
      <c r="A45" s="15" t="s">
        <v>171</v>
      </c>
      <c r="C45" s="5"/>
    </row>
    <row r="46" customFormat="false" ht="12.8" hidden="false" customHeight="false" outlineLevel="0" collapsed="false">
      <c r="A46" s="16" t="s">
        <v>172</v>
      </c>
      <c r="C46" s="5"/>
    </row>
    <row r="47" customFormat="false" ht="12.8" hidden="false" customHeight="false" outlineLevel="0" collapsed="false">
      <c r="A47" s="17" t="s">
        <v>173</v>
      </c>
      <c r="C4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4" width="11.55"/>
  </cols>
  <sheetData>
    <row r="1" customFormat="false" ht="12.8" hidden="false" customHeight="false" outlineLevel="0" collapsed="false">
      <c r="A1" s="2" t="s">
        <v>174</v>
      </c>
      <c r="B1" s="3" t="s">
        <v>1</v>
      </c>
      <c r="C1" s="3" t="s">
        <v>149</v>
      </c>
      <c r="D1" s="3" t="s">
        <v>168</v>
      </c>
    </row>
    <row r="2" customFormat="false" ht="12.8" hidden="false" customHeight="false" outlineLevel="0" collapsed="false">
      <c r="A2" s="1" t="n">
        <v>1</v>
      </c>
      <c r="B2" s="4" t="s">
        <v>36</v>
      </c>
      <c r="C2" s="5" t="n">
        <v>0.875</v>
      </c>
      <c r="D2" s="5" t="n">
        <v>0.695</v>
      </c>
    </row>
    <row r="3" customFormat="false" ht="12.8" hidden="false" customHeight="false" outlineLevel="0" collapsed="false">
      <c r="A3" s="1" t="n">
        <v>2</v>
      </c>
      <c r="B3" s="4" t="s">
        <v>30</v>
      </c>
      <c r="C3" s="5" t="n">
        <v>0.875</v>
      </c>
      <c r="D3" s="5" t="n">
        <v>0.613</v>
      </c>
    </row>
    <row r="4" customFormat="false" ht="12.8" hidden="false" customHeight="false" outlineLevel="0" collapsed="false">
      <c r="A4" s="1" t="n">
        <v>3</v>
      </c>
      <c r="B4" s="4" t="s">
        <v>46</v>
      </c>
      <c r="C4" s="5" t="n">
        <v>0.857</v>
      </c>
      <c r="D4" s="5" t="n">
        <v>0.622</v>
      </c>
    </row>
    <row r="5" customFormat="false" ht="12.8" hidden="false" customHeight="false" outlineLevel="0" collapsed="false">
      <c r="A5" s="1" t="n">
        <v>4</v>
      </c>
      <c r="B5" s="4" t="s">
        <v>5</v>
      </c>
      <c r="C5" s="5" t="n">
        <v>0.75</v>
      </c>
      <c r="D5" s="5" t="n">
        <v>0.587</v>
      </c>
    </row>
    <row r="6" customFormat="false" ht="12.8" hidden="false" customHeight="false" outlineLevel="0" collapsed="false">
      <c r="A6" s="1" t="n">
        <v>5</v>
      </c>
      <c r="B6" s="4" t="s">
        <v>39</v>
      </c>
      <c r="C6" s="5" t="n">
        <v>0.75</v>
      </c>
      <c r="D6" s="5" t="n">
        <v>0.565</v>
      </c>
    </row>
    <row r="7" customFormat="false" ht="12.8" hidden="false" customHeight="false" outlineLevel="0" collapsed="false">
      <c r="A7" s="1" t="n">
        <v>6</v>
      </c>
      <c r="B7" s="4" t="s">
        <v>18</v>
      </c>
      <c r="C7" s="5" t="n">
        <v>0.714</v>
      </c>
      <c r="D7" s="5" t="n">
        <v>0.57</v>
      </c>
    </row>
    <row r="8" customFormat="false" ht="12.8" hidden="false" customHeight="false" outlineLevel="0" collapsed="false">
      <c r="A8" s="1" t="n">
        <v>7</v>
      </c>
      <c r="B8" s="4" t="s">
        <v>19</v>
      </c>
      <c r="C8" s="5" t="n">
        <v>0.714</v>
      </c>
      <c r="D8" s="5" t="n">
        <v>0.529</v>
      </c>
    </row>
    <row r="9" customFormat="false" ht="12.8" hidden="false" customHeight="false" outlineLevel="0" collapsed="false">
      <c r="A9" s="1" t="n">
        <v>8</v>
      </c>
      <c r="B9" s="4" t="s">
        <v>20</v>
      </c>
      <c r="C9" s="5" t="n">
        <v>0.625</v>
      </c>
      <c r="D9" s="5" t="n">
        <v>0.569</v>
      </c>
    </row>
    <row r="10" customFormat="false" ht="12.8" hidden="false" customHeight="false" outlineLevel="0" collapsed="false">
      <c r="A10" s="1" t="n">
        <v>9</v>
      </c>
      <c r="B10" s="4" t="s">
        <v>25</v>
      </c>
      <c r="C10" s="5" t="n">
        <v>0.625</v>
      </c>
      <c r="D10" s="5" t="n">
        <v>0.554</v>
      </c>
    </row>
    <row r="11" customFormat="false" ht="12.8" hidden="false" customHeight="false" outlineLevel="0" collapsed="false">
      <c r="A11" s="1" t="n">
        <v>10</v>
      </c>
      <c r="B11" s="4" t="s">
        <v>38</v>
      </c>
      <c r="C11" s="5" t="n">
        <v>0.625</v>
      </c>
      <c r="D11" s="5" t="n">
        <v>0.547</v>
      </c>
    </row>
    <row r="12" customFormat="false" ht="12.8" hidden="false" customHeight="false" outlineLevel="0" collapsed="false">
      <c r="A12" s="1" t="n">
        <v>11</v>
      </c>
      <c r="B12" s="4" t="s">
        <v>3</v>
      </c>
      <c r="C12" s="5" t="n">
        <v>0.625</v>
      </c>
      <c r="D12" s="5" t="n">
        <v>0.54621</v>
      </c>
    </row>
    <row r="13" customFormat="false" ht="12.8" hidden="false" customHeight="false" outlineLevel="0" collapsed="false">
      <c r="A13" s="1" t="n">
        <v>12</v>
      </c>
      <c r="B13" s="4" t="s">
        <v>21</v>
      </c>
      <c r="C13" s="5" t="n">
        <v>0.625</v>
      </c>
      <c r="D13" s="5" t="n">
        <v>0.54615</v>
      </c>
    </row>
    <row r="14" customFormat="false" ht="12.8" hidden="false" customHeight="false" outlineLevel="0" collapsed="false">
      <c r="A14" s="1" t="n">
        <v>13</v>
      </c>
      <c r="B14" s="4" t="s">
        <v>37</v>
      </c>
      <c r="C14" s="5" t="n">
        <v>0.625</v>
      </c>
      <c r="D14" s="5" t="n">
        <v>0.542</v>
      </c>
    </row>
    <row r="15" customFormat="false" ht="12.8" hidden="false" customHeight="false" outlineLevel="0" collapsed="false">
      <c r="A15" s="1" t="n">
        <v>14</v>
      </c>
      <c r="B15" s="4" t="s">
        <v>12</v>
      </c>
      <c r="C15" s="5" t="n">
        <v>0.625</v>
      </c>
      <c r="D15" s="5" t="n">
        <v>0.529</v>
      </c>
    </row>
    <row r="16" customFormat="false" ht="12.8" hidden="false" customHeight="false" outlineLevel="0" collapsed="false">
      <c r="A16" s="1" t="n">
        <v>15</v>
      </c>
      <c r="B16" s="4" t="s">
        <v>6</v>
      </c>
      <c r="C16" s="5" t="n">
        <v>0.625</v>
      </c>
      <c r="D16" s="5" t="n">
        <v>0.511</v>
      </c>
    </row>
    <row r="17" customFormat="false" ht="12.8" hidden="false" customHeight="false" outlineLevel="0" collapsed="false">
      <c r="A17" s="1" t="n">
        <v>16</v>
      </c>
      <c r="B17" s="4" t="s">
        <v>45</v>
      </c>
      <c r="C17" s="5" t="n">
        <v>0.571</v>
      </c>
      <c r="D17" s="5" t="n">
        <v>0.544</v>
      </c>
    </row>
    <row r="18" customFormat="false" ht="12.8" hidden="false" customHeight="false" outlineLevel="0" collapsed="false">
      <c r="A18" s="1" t="n">
        <v>17</v>
      </c>
      <c r="B18" s="4" t="s">
        <v>27</v>
      </c>
      <c r="C18" s="5" t="n">
        <v>0.571</v>
      </c>
      <c r="D18" s="5" t="n">
        <v>0.533</v>
      </c>
    </row>
    <row r="19" customFormat="false" ht="12.8" hidden="false" customHeight="false" outlineLevel="0" collapsed="false">
      <c r="A19" s="1" t="n">
        <v>18</v>
      </c>
      <c r="B19" s="4" t="s">
        <v>40</v>
      </c>
      <c r="C19" s="5" t="n">
        <v>0.571</v>
      </c>
      <c r="D19" s="5" t="n">
        <v>0.52</v>
      </c>
    </row>
    <row r="20" customFormat="false" ht="12.8" hidden="false" customHeight="false" outlineLevel="0" collapsed="false">
      <c r="A20" s="1" t="n">
        <v>19</v>
      </c>
      <c r="B20" s="4" t="s">
        <v>43</v>
      </c>
      <c r="C20" s="5" t="n">
        <v>0.571</v>
      </c>
      <c r="D20" s="5" t="n">
        <v>0.496</v>
      </c>
    </row>
    <row r="21" customFormat="false" ht="12.8" hidden="false" customHeight="false" outlineLevel="0" collapsed="false">
      <c r="A21" s="1" t="n">
        <v>20</v>
      </c>
      <c r="B21" s="4" t="s">
        <v>34</v>
      </c>
      <c r="C21" s="5" t="n">
        <v>0.5</v>
      </c>
      <c r="D21" s="5" t="n">
        <v>0.561</v>
      </c>
    </row>
    <row r="22" customFormat="false" ht="12.8" hidden="false" customHeight="false" outlineLevel="0" collapsed="false">
      <c r="A22" s="1" t="n">
        <v>21</v>
      </c>
      <c r="B22" s="4" t="s">
        <v>16</v>
      </c>
      <c r="C22" s="5" t="n">
        <v>0.5</v>
      </c>
      <c r="D22" s="5" t="n">
        <v>0.526</v>
      </c>
    </row>
    <row r="23" customFormat="false" ht="12.8" hidden="false" customHeight="false" outlineLevel="0" collapsed="false">
      <c r="A23" s="1" t="n">
        <v>22</v>
      </c>
      <c r="B23" s="4" t="s">
        <v>13</v>
      </c>
      <c r="C23" s="5" t="n">
        <v>0.5</v>
      </c>
      <c r="D23" s="5" t="n">
        <v>0.517</v>
      </c>
    </row>
    <row r="24" customFormat="false" ht="12.8" hidden="false" customHeight="false" outlineLevel="0" collapsed="false">
      <c r="A24" s="1" t="n">
        <v>23</v>
      </c>
      <c r="B24" s="4" t="s">
        <v>17</v>
      </c>
      <c r="C24" s="5" t="n">
        <v>0.5</v>
      </c>
      <c r="D24" s="5" t="n">
        <v>0.5</v>
      </c>
    </row>
    <row r="25" customFormat="false" ht="12.8" hidden="false" customHeight="false" outlineLevel="0" collapsed="false">
      <c r="A25" s="1" t="n">
        <v>24</v>
      </c>
      <c r="B25" s="4" t="s">
        <v>32</v>
      </c>
      <c r="C25" s="5" t="n">
        <v>0.5</v>
      </c>
      <c r="D25" s="5" t="n">
        <v>0.5</v>
      </c>
    </row>
    <row r="26" customFormat="false" ht="12.8" hidden="false" customHeight="false" outlineLevel="0" collapsed="false">
      <c r="A26" s="1" t="n">
        <v>25</v>
      </c>
      <c r="B26" s="4" t="s">
        <v>22</v>
      </c>
      <c r="C26" s="5" t="n">
        <v>0.5</v>
      </c>
      <c r="D26" s="5" t="n">
        <v>0.493</v>
      </c>
    </row>
    <row r="27" customFormat="false" ht="12.8" hidden="false" customHeight="false" outlineLevel="0" collapsed="false">
      <c r="A27" s="1" t="n">
        <v>26</v>
      </c>
      <c r="B27" s="4" t="s">
        <v>9</v>
      </c>
      <c r="C27" s="5" t="n">
        <v>0.5</v>
      </c>
      <c r="D27" s="5" t="n">
        <v>0.492</v>
      </c>
    </row>
    <row r="28" customFormat="false" ht="12.8" hidden="false" customHeight="false" outlineLevel="0" collapsed="false">
      <c r="A28" s="1" t="n">
        <v>27</v>
      </c>
      <c r="B28" s="4" t="s">
        <v>23</v>
      </c>
      <c r="C28" s="5" t="n">
        <v>0.5</v>
      </c>
      <c r="D28" s="5" t="n">
        <v>0.45</v>
      </c>
    </row>
    <row r="29" customFormat="false" ht="12.8" hidden="false" customHeight="false" outlineLevel="0" collapsed="false">
      <c r="A29" s="1" t="n">
        <v>28</v>
      </c>
      <c r="B29" s="4" t="s">
        <v>28</v>
      </c>
      <c r="C29" s="5" t="n">
        <v>0.429</v>
      </c>
      <c r="D29" s="5" t="n">
        <v>0.491</v>
      </c>
    </row>
    <row r="30" customFormat="false" ht="12.8" hidden="false" customHeight="false" outlineLevel="0" collapsed="false">
      <c r="A30" s="1" t="n">
        <v>29</v>
      </c>
      <c r="B30" s="4" t="s">
        <v>41</v>
      </c>
      <c r="C30" s="5" t="n">
        <v>0.429</v>
      </c>
      <c r="D30" s="5" t="n">
        <v>0.466</v>
      </c>
    </row>
    <row r="31" customFormat="false" ht="12.8" hidden="false" customHeight="false" outlineLevel="0" collapsed="false">
      <c r="A31" s="1" t="n">
        <v>30</v>
      </c>
      <c r="B31" s="4" t="s">
        <v>42</v>
      </c>
      <c r="C31" s="5" t="n">
        <v>0.429</v>
      </c>
      <c r="D31" s="5" t="n">
        <v>0.464</v>
      </c>
    </row>
    <row r="32" customFormat="false" ht="12.8" hidden="false" customHeight="false" outlineLevel="0" collapsed="false">
      <c r="A32" s="1" t="n">
        <v>31</v>
      </c>
      <c r="B32" s="4" t="s">
        <v>24</v>
      </c>
      <c r="C32" s="5" t="n">
        <v>0.429</v>
      </c>
      <c r="D32" s="5" t="n">
        <v>0.458</v>
      </c>
    </row>
    <row r="33" customFormat="false" ht="12.8" hidden="false" customHeight="false" outlineLevel="0" collapsed="false">
      <c r="A33" s="1" t="n">
        <v>32</v>
      </c>
      <c r="B33" s="4" t="s">
        <v>10</v>
      </c>
      <c r="C33" s="5" t="n">
        <v>0.375</v>
      </c>
      <c r="D33" s="5" t="n">
        <v>0.489</v>
      </c>
    </row>
    <row r="34" customFormat="false" ht="12.8" hidden="false" customHeight="false" outlineLevel="0" collapsed="false">
      <c r="A34" s="1" t="n">
        <v>33</v>
      </c>
      <c r="B34" s="4" t="s">
        <v>44</v>
      </c>
      <c r="C34" s="5" t="n">
        <v>0.375</v>
      </c>
      <c r="D34" s="5" t="n">
        <v>0.393</v>
      </c>
    </row>
    <row r="35" customFormat="false" ht="12.8" hidden="false" customHeight="false" outlineLevel="0" collapsed="false">
      <c r="A35" s="1" t="n">
        <v>34</v>
      </c>
      <c r="B35" s="4" t="s">
        <v>31</v>
      </c>
      <c r="C35" s="5" t="n">
        <v>0.286</v>
      </c>
      <c r="D35" s="5" t="n">
        <v>0.476</v>
      </c>
    </row>
    <row r="36" customFormat="false" ht="12.8" hidden="false" customHeight="false" outlineLevel="0" collapsed="false">
      <c r="A36" s="1" t="n">
        <v>35</v>
      </c>
      <c r="B36" s="4" t="s">
        <v>26</v>
      </c>
      <c r="C36" s="5" t="n">
        <v>0.286</v>
      </c>
      <c r="D36" s="5" t="n">
        <v>0.424</v>
      </c>
    </row>
    <row r="37" customFormat="false" ht="12.8" hidden="false" customHeight="false" outlineLevel="0" collapsed="false">
      <c r="A37" s="1" t="n">
        <v>36</v>
      </c>
      <c r="B37" s="4" t="s">
        <v>8</v>
      </c>
      <c r="C37" s="5" t="n">
        <v>0.25</v>
      </c>
      <c r="D37" s="5" t="n">
        <v>0.407</v>
      </c>
    </row>
    <row r="38" customFormat="false" ht="12.8" hidden="false" customHeight="false" outlineLevel="0" collapsed="false">
      <c r="A38" s="1" t="n">
        <v>37</v>
      </c>
      <c r="B38" s="4" t="s">
        <v>14</v>
      </c>
      <c r="C38" s="5" t="n">
        <v>0.25</v>
      </c>
      <c r="D38" s="5" t="n">
        <v>0.397</v>
      </c>
    </row>
    <row r="39" customFormat="false" ht="12.8" hidden="false" customHeight="false" outlineLevel="0" collapsed="false">
      <c r="A39" s="1" t="n">
        <v>38</v>
      </c>
      <c r="B39" s="4" t="s">
        <v>35</v>
      </c>
      <c r="C39" s="5" t="n">
        <v>0.25</v>
      </c>
      <c r="D39" s="5" t="n">
        <v>0.392</v>
      </c>
    </row>
    <row r="40" customFormat="false" ht="12.8" hidden="false" customHeight="false" outlineLevel="0" collapsed="false">
      <c r="A40" s="1" t="n">
        <v>39</v>
      </c>
      <c r="B40" s="4" t="s">
        <v>29</v>
      </c>
      <c r="C40" s="5" t="n">
        <v>0.143</v>
      </c>
      <c r="D40" s="5" t="n">
        <v>0.43</v>
      </c>
    </row>
    <row r="41" customFormat="false" ht="12.8" hidden="false" customHeight="false" outlineLevel="0" collapsed="false">
      <c r="A41" s="1" t="n">
        <v>40</v>
      </c>
      <c r="B41" s="4" t="s">
        <v>33</v>
      </c>
      <c r="C41" s="5" t="n">
        <v>0.143</v>
      </c>
      <c r="D41" s="5" t="n">
        <v>0.416</v>
      </c>
    </row>
    <row r="42" customFormat="false" ht="12.8" hidden="false" customHeight="false" outlineLevel="0" collapsed="false">
      <c r="A42" s="1" t="n">
        <v>41</v>
      </c>
      <c r="B42" s="4" t="s">
        <v>11</v>
      </c>
      <c r="C42" s="5" t="n">
        <v>0.143</v>
      </c>
      <c r="D42" s="5" t="n">
        <v>0.389</v>
      </c>
    </row>
    <row r="43" customFormat="false" ht="12.8" hidden="false" customHeight="false" outlineLevel="0" collapsed="false">
      <c r="A43" s="1" t="n">
        <v>42</v>
      </c>
      <c r="B43" s="4" t="s">
        <v>7</v>
      </c>
      <c r="C43" s="5" t="n">
        <v>0.125</v>
      </c>
      <c r="D43" s="5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0" sqref="A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25"/>
    <col collapsed="false" customWidth="true" hidden="false" outlineLevel="0" max="3" min="3" style="1" width="7.76"/>
    <col collapsed="false" customWidth="true" hidden="false" outlineLevel="0" max="4" min="4" style="5" width="18.11"/>
    <col collapsed="false" customWidth="true" hidden="false" outlineLevel="0" max="5" min="5" style="1" width="7.76"/>
    <col collapsed="false" customWidth="false" hidden="false" outlineLevel="0" max="7" min="6" style="1" width="11.53"/>
    <col collapsed="false" customWidth="true" hidden="false" outlineLevel="0" max="8" min="8" style="1" width="9.56"/>
    <col collapsed="false" customWidth="true" hidden="false" outlineLevel="0" max="9" min="9" style="1" width="4.4"/>
    <col collapsed="false" customWidth="true" hidden="false" outlineLevel="0" max="10" min="10" style="1" width="8.87"/>
    <col collapsed="false" customWidth="true" hidden="false" outlineLevel="0" max="11" min="11" style="5" width="24.77"/>
  </cols>
  <sheetData>
    <row r="1" s="3" customFormat="true" ht="12.8" hidden="false" customHeight="false" outlineLevel="0" collapsed="false">
      <c r="A1" s="2" t="s">
        <v>175</v>
      </c>
      <c r="B1" s="3" t="s">
        <v>176</v>
      </c>
      <c r="C1" s="2" t="s">
        <v>177</v>
      </c>
      <c r="D1" s="3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3" t="s">
        <v>185</v>
      </c>
      <c r="XFC1" s="5"/>
      <c r="XFD1" s="5"/>
    </row>
    <row r="2" customFormat="false" ht="12.8" hidden="false" customHeight="false" outlineLevel="0" collapsed="false">
      <c r="A2" s="1" t="n">
        <v>1</v>
      </c>
      <c r="B2" s="4" t="s">
        <v>36</v>
      </c>
      <c r="C2" s="1" t="n">
        <v>1</v>
      </c>
      <c r="D2" s="4" t="s">
        <v>5</v>
      </c>
      <c r="E2" s="1" t="n">
        <v>4</v>
      </c>
      <c r="F2" s="1" t="n">
        <v>5</v>
      </c>
      <c r="G2" s="1" t="n">
        <v>1</v>
      </c>
      <c r="H2" s="1" t="n">
        <v>1</v>
      </c>
      <c r="I2" s="1" t="s">
        <v>186</v>
      </c>
      <c r="J2" s="1" t="str">
        <f aca="false">_xlfn.CONCAT(H2,I2)</f>
        <v>1A</v>
      </c>
      <c r="K2" s="5" t="str">
        <f aca="false">_xlfn.CONCAT(B2, " / ", D2)</f>
        <v>Romeo / Kong</v>
      </c>
    </row>
    <row r="3" customFormat="false" ht="12.8" hidden="false" customHeight="false" outlineLevel="0" collapsed="false">
      <c r="A3" s="1" t="n">
        <v>2</v>
      </c>
      <c r="B3" s="4" t="s">
        <v>30</v>
      </c>
      <c r="C3" s="1" t="n">
        <v>2</v>
      </c>
      <c r="D3" s="4" t="s">
        <v>13</v>
      </c>
      <c r="E3" s="1" t="n">
        <v>22</v>
      </c>
      <c r="F3" s="1" t="n">
        <v>24</v>
      </c>
      <c r="G3" s="1" t="n">
        <v>3</v>
      </c>
      <c r="H3" s="1" t="n">
        <v>2</v>
      </c>
      <c r="I3" s="1" t="s">
        <v>187</v>
      </c>
      <c r="J3" s="1" t="str">
        <f aca="false">_xlfn.CONCAT(H3,I3)</f>
        <v>2B</v>
      </c>
      <c r="K3" s="5" t="str">
        <f aca="false">_xlfn.CONCAT(B3, " / ", D3)</f>
        <v>Scruggs / Watkins</v>
      </c>
    </row>
    <row r="4" customFormat="false" ht="12.8" hidden="false" customHeight="false" outlineLevel="0" collapsed="false">
      <c r="A4" s="1" t="n">
        <v>3</v>
      </c>
      <c r="B4" s="4" t="s">
        <v>46</v>
      </c>
      <c r="C4" s="1" t="n">
        <v>3</v>
      </c>
      <c r="D4" s="4" t="s">
        <v>37</v>
      </c>
      <c r="E4" s="1" t="n">
        <v>13</v>
      </c>
      <c r="F4" s="1" t="n">
        <v>16</v>
      </c>
      <c r="G4" s="1" t="n">
        <v>2</v>
      </c>
      <c r="H4" s="1" t="n">
        <v>1</v>
      </c>
      <c r="I4" s="1" t="s">
        <v>187</v>
      </c>
      <c r="J4" s="1" t="str">
        <f aca="false">_xlfn.CONCAT(H4,I4)</f>
        <v>1B</v>
      </c>
      <c r="K4" s="5" t="str">
        <f aca="false">_xlfn.CONCAT(B4, " / ", D4)</f>
        <v>Tex / Chesty</v>
      </c>
    </row>
    <row r="5" customFormat="false" ht="12.8" hidden="false" customHeight="false" outlineLevel="0" collapsed="false">
      <c r="A5" s="1" t="n">
        <v>4</v>
      </c>
      <c r="B5" s="4" t="s">
        <v>39</v>
      </c>
      <c r="C5" s="1" t="n">
        <v>5</v>
      </c>
      <c r="D5" s="4" t="s">
        <v>22</v>
      </c>
      <c r="E5" s="1" t="n">
        <v>25</v>
      </c>
      <c r="F5" s="1" t="n">
        <v>30</v>
      </c>
      <c r="G5" s="1" t="n">
        <v>5</v>
      </c>
      <c r="H5" s="1" t="n">
        <v>3</v>
      </c>
      <c r="I5" s="1" t="s">
        <v>186</v>
      </c>
      <c r="J5" s="1" t="str">
        <f aca="false">_xlfn.CONCAT(H5,I5)</f>
        <v>3A</v>
      </c>
      <c r="K5" s="5" t="str">
        <f aca="false">_xlfn.CONCAT(B5, " / ", D5)</f>
        <v>Spike / Cureton</v>
      </c>
    </row>
    <row r="6" customFormat="false" ht="12.8" hidden="false" customHeight="false" outlineLevel="0" collapsed="false">
      <c r="A6" s="1" t="n">
        <v>5</v>
      </c>
      <c r="B6" s="4" t="s">
        <v>18</v>
      </c>
      <c r="C6" s="1" t="n">
        <v>6</v>
      </c>
      <c r="D6" s="4" t="s">
        <v>7</v>
      </c>
      <c r="E6" s="1" t="n">
        <v>42</v>
      </c>
      <c r="F6" s="1" t="n">
        <v>48</v>
      </c>
      <c r="G6" s="1" t="n">
        <v>14</v>
      </c>
      <c r="H6" s="1" t="n">
        <v>7</v>
      </c>
      <c r="I6" s="1" t="s">
        <v>187</v>
      </c>
      <c r="J6" s="1" t="str">
        <f aca="false">_xlfn.CONCAT(H6,I6)</f>
        <v>7B</v>
      </c>
      <c r="K6" s="5" t="str">
        <f aca="false">_xlfn.CONCAT(B6, " / ", D6)</f>
        <v>Mentle / Kramer</v>
      </c>
    </row>
    <row r="7" customFormat="false" ht="12.8" hidden="false" customHeight="false" outlineLevel="0" collapsed="false">
      <c r="A7" s="1" t="n">
        <v>6</v>
      </c>
      <c r="B7" s="4" t="s">
        <v>20</v>
      </c>
      <c r="C7" s="1" t="n">
        <v>8</v>
      </c>
      <c r="D7" s="4" t="s">
        <v>35</v>
      </c>
      <c r="E7" s="1" t="n">
        <v>38</v>
      </c>
      <c r="F7" s="1" t="n">
        <v>46</v>
      </c>
      <c r="G7" s="1" t="n">
        <v>11</v>
      </c>
      <c r="H7" s="1" t="n">
        <v>6</v>
      </c>
      <c r="I7" s="1" t="s">
        <v>187</v>
      </c>
      <c r="J7" s="1" t="str">
        <f aca="false">_xlfn.CONCAT(H7,I7)</f>
        <v>6B</v>
      </c>
      <c r="K7" s="5" t="str">
        <f aca="false">_xlfn.CONCAT(B7, " / ", D7)</f>
        <v>Lineman / DiPesa</v>
      </c>
    </row>
    <row r="8" customFormat="false" ht="12.8" hidden="false" customHeight="false" outlineLevel="0" collapsed="false">
      <c r="A8" s="1" t="n">
        <v>7</v>
      </c>
      <c r="B8" s="4" t="s">
        <v>25</v>
      </c>
      <c r="C8" s="1" t="n">
        <v>9</v>
      </c>
      <c r="D8" s="4" t="s">
        <v>43</v>
      </c>
      <c r="E8" s="1" t="n">
        <v>19</v>
      </c>
      <c r="F8" s="1" t="n">
        <v>28</v>
      </c>
      <c r="G8" s="1" t="n">
        <v>4</v>
      </c>
      <c r="H8" s="1" t="n">
        <v>2</v>
      </c>
      <c r="I8" s="1" t="s">
        <v>186</v>
      </c>
      <c r="J8" s="1" t="str">
        <f aca="false">_xlfn.CONCAT(H8,I8)</f>
        <v>2A</v>
      </c>
      <c r="K8" s="5" t="str">
        <f aca="false">_xlfn.CONCAT(B8, " / ", D8)</f>
        <v>Rechtin / Wee</v>
      </c>
    </row>
    <row r="9" customFormat="false" ht="12.8" hidden="false" customHeight="false" outlineLevel="0" collapsed="false">
      <c r="A9" s="1" t="n">
        <v>8</v>
      </c>
      <c r="B9" s="4" t="s">
        <v>38</v>
      </c>
      <c r="C9" s="1" t="n">
        <v>10</v>
      </c>
      <c r="D9" s="4" t="s">
        <v>9</v>
      </c>
      <c r="E9" s="1" t="n">
        <v>26</v>
      </c>
      <c r="F9" s="1" t="n">
        <v>36</v>
      </c>
      <c r="G9" s="1" t="n">
        <v>7</v>
      </c>
      <c r="H9" s="1" t="n">
        <v>4</v>
      </c>
      <c r="I9" s="1" t="s">
        <v>187</v>
      </c>
      <c r="J9" s="1" t="str">
        <f aca="false">_xlfn.CONCAT(H9,I9)</f>
        <v>4B</v>
      </c>
      <c r="K9" s="5" t="str">
        <f aca="false">_xlfn.CONCAT(B9, " / ", D9)</f>
        <v>Abs / Leibly</v>
      </c>
    </row>
    <row r="10" customFormat="false" ht="12.8" hidden="false" customHeight="false" outlineLevel="0" collapsed="false">
      <c r="A10" s="1" t="n">
        <v>9</v>
      </c>
      <c r="B10" s="4" t="s">
        <v>3</v>
      </c>
      <c r="C10" s="1" t="n">
        <v>11</v>
      </c>
      <c r="D10" s="4" t="s">
        <v>41</v>
      </c>
      <c r="E10" s="1" t="n">
        <v>29</v>
      </c>
      <c r="F10" s="1" t="n">
        <v>40</v>
      </c>
      <c r="G10" s="1" t="n">
        <v>8</v>
      </c>
      <c r="H10" s="1" t="n">
        <v>4</v>
      </c>
      <c r="I10" s="1" t="s">
        <v>186</v>
      </c>
      <c r="J10" s="1" t="str">
        <f aca="false">_xlfn.CONCAT(H10,I10)</f>
        <v>4A</v>
      </c>
      <c r="K10" s="5" t="str">
        <f aca="false">_xlfn.CONCAT(B10, " / ", D10)</f>
        <v>O’Leary / Rooze</v>
      </c>
    </row>
    <row r="11" customFormat="false" ht="12.8" hidden="false" customHeight="false" outlineLevel="0" collapsed="false">
      <c r="A11" s="1" t="n">
        <v>10</v>
      </c>
      <c r="B11" s="4" t="s">
        <v>21</v>
      </c>
      <c r="C11" s="1" t="n">
        <v>12</v>
      </c>
      <c r="D11" s="4" t="s">
        <v>17</v>
      </c>
      <c r="E11" s="1" t="n">
        <v>23</v>
      </c>
      <c r="F11" s="1" t="n">
        <v>35</v>
      </c>
      <c r="G11" s="1" t="n">
        <v>6</v>
      </c>
      <c r="H11" s="1" t="n">
        <v>3</v>
      </c>
      <c r="I11" s="1" t="s">
        <v>187</v>
      </c>
      <c r="J11" s="1" t="str">
        <f aca="false">_xlfn.CONCAT(H11,I11)</f>
        <v>3B</v>
      </c>
      <c r="K11" s="5" t="str">
        <f aca="false">_xlfn.CONCAT(B11, " / ", D11)</f>
        <v>Harris / Bocci</v>
      </c>
    </row>
    <row r="12" customFormat="false" ht="12.8" hidden="false" customHeight="false" outlineLevel="0" collapsed="false">
      <c r="A12" s="1" t="n">
        <v>11</v>
      </c>
      <c r="B12" s="4" t="s">
        <v>12</v>
      </c>
      <c r="C12" s="1" t="n">
        <v>14</v>
      </c>
      <c r="D12" s="4" t="s">
        <v>10</v>
      </c>
      <c r="E12" s="1" t="n">
        <v>32</v>
      </c>
      <c r="F12" s="1" t="n">
        <v>46</v>
      </c>
      <c r="G12" s="1" t="n">
        <v>12</v>
      </c>
      <c r="H12" s="1" t="n">
        <v>6</v>
      </c>
      <c r="I12" s="1" t="s">
        <v>186</v>
      </c>
      <c r="J12" s="1" t="str">
        <f aca="false">_xlfn.CONCAT(H12,I12)</f>
        <v>6A</v>
      </c>
      <c r="K12" s="5" t="str">
        <f aca="false">_xlfn.CONCAT(B12, " / ", D12)</f>
        <v>Aviv / Virgilio</v>
      </c>
    </row>
    <row r="13" customFormat="false" ht="12.8" hidden="false" customHeight="false" outlineLevel="0" collapsed="false">
      <c r="A13" s="1" t="n">
        <v>12</v>
      </c>
      <c r="B13" s="4" t="s">
        <v>6</v>
      </c>
      <c r="C13" s="1" t="n">
        <v>15</v>
      </c>
      <c r="D13" s="4" t="s">
        <v>23</v>
      </c>
      <c r="E13" s="1" t="n">
        <v>27</v>
      </c>
      <c r="F13" s="1" t="n">
        <v>42</v>
      </c>
      <c r="G13" s="1" t="n">
        <v>9</v>
      </c>
      <c r="H13" s="1" t="n">
        <v>5</v>
      </c>
      <c r="I13" s="1" t="s">
        <v>186</v>
      </c>
      <c r="J13" s="1" t="str">
        <f aca="false">_xlfn.CONCAT(H13,I13)</f>
        <v>5A</v>
      </c>
      <c r="K13" s="5" t="str">
        <f aca="false">_xlfn.CONCAT(B13, " / ", D13)</f>
        <v>Struble / Chess</v>
      </c>
    </row>
    <row r="14" customFormat="false" ht="12.8" hidden="false" customHeight="false" outlineLevel="0" collapsed="false">
      <c r="A14" s="1" t="n">
        <v>13</v>
      </c>
      <c r="B14" s="4" t="s">
        <v>45</v>
      </c>
      <c r="C14" s="1" t="n">
        <v>16</v>
      </c>
      <c r="D14" s="4" t="s">
        <v>42</v>
      </c>
      <c r="E14" s="1" t="n">
        <v>30</v>
      </c>
      <c r="F14" s="1" t="n">
        <v>46</v>
      </c>
      <c r="G14" s="1" t="n">
        <v>13</v>
      </c>
      <c r="H14" s="1" t="n">
        <v>7</v>
      </c>
      <c r="I14" s="1" t="s">
        <v>186</v>
      </c>
      <c r="J14" s="1" t="str">
        <f aca="false">_xlfn.CONCAT(H14,I14)</f>
        <v>7A</v>
      </c>
      <c r="K14" s="5" t="str">
        <f aca="false">_xlfn.CONCAT(B14, " / ", D14)</f>
        <v>Silberberg / Chisholm</v>
      </c>
    </row>
    <row r="15" customFormat="false" ht="12.8" hidden="false" customHeight="false" outlineLevel="0" collapsed="false">
      <c r="A15" s="1" t="n">
        <v>14</v>
      </c>
      <c r="B15" s="4" t="s">
        <v>27</v>
      </c>
      <c r="C15" s="1" t="n">
        <v>17</v>
      </c>
      <c r="D15" s="4" t="s">
        <v>44</v>
      </c>
      <c r="E15" s="1" t="n">
        <v>33</v>
      </c>
      <c r="F15" s="1" t="n">
        <v>50</v>
      </c>
      <c r="G15" s="1" t="n">
        <v>15</v>
      </c>
      <c r="H15" s="1" t="n">
        <v>8</v>
      </c>
      <c r="I15" s="1" t="s">
        <v>187</v>
      </c>
      <c r="J15" s="1" t="str">
        <f aca="false">_xlfn.CONCAT(H15,I15)</f>
        <v>8B</v>
      </c>
      <c r="K15" s="5" t="str">
        <f aca="false">_xlfn.CONCAT(B15, " / ", D15)</f>
        <v>Shutts / Pound</v>
      </c>
    </row>
    <row r="16" customFormat="false" ht="12.8" hidden="false" customHeight="false" outlineLevel="0" collapsed="false">
      <c r="A16" s="1" t="n">
        <v>15</v>
      </c>
      <c r="B16" s="4" t="s">
        <v>40</v>
      </c>
      <c r="C16" s="1" t="n">
        <v>18</v>
      </c>
      <c r="D16" s="4" t="s">
        <v>8</v>
      </c>
      <c r="E16" s="1" t="n">
        <v>36</v>
      </c>
      <c r="F16" s="1" t="n">
        <v>54</v>
      </c>
      <c r="G16" s="1" t="n">
        <v>16</v>
      </c>
      <c r="H16" s="1" t="n">
        <v>8</v>
      </c>
      <c r="I16" s="1" t="s">
        <v>186</v>
      </c>
      <c r="J16" s="1" t="str">
        <f aca="false">_xlfn.CONCAT(H16,I16)</f>
        <v>8A</v>
      </c>
      <c r="K16" s="5" t="str">
        <f aca="false">_xlfn.CONCAT(B16, " / ", D16)</f>
        <v>Hauer / Crash</v>
      </c>
    </row>
    <row r="17" customFormat="false" ht="12.8" hidden="false" customHeight="false" outlineLevel="0" collapsed="false">
      <c r="A17" s="1" t="n">
        <v>16</v>
      </c>
      <c r="B17" s="4" t="s">
        <v>34</v>
      </c>
      <c r="C17" s="1" t="n">
        <v>20</v>
      </c>
      <c r="D17" s="4" t="s">
        <v>188</v>
      </c>
      <c r="E17" s="1" t="s">
        <v>189</v>
      </c>
      <c r="F17" s="1" t="n">
        <v>64</v>
      </c>
      <c r="G17" s="1" t="n">
        <v>17</v>
      </c>
      <c r="H17" s="1" t="n">
        <v>9</v>
      </c>
      <c r="I17" s="1" t="s">
        <v>186</v>
      </c>
      <c r="J17" s="1" t="str">
        <f aca="false">_xlfn.CONCAT(H17,I17)</f>
        <v>9A</v>
      </c>
      <c r="K17" s="5" t="str">
        <f aca="false">_xlfn.CONCAT(B17, " / ", D17)</f>
        <v>Latt / Della Grotte / House</v>
      </c>
    </row>
    <row r="18" customFormat="false" ht="12.8" hidden="false" customHeight="false" outlineLevel="0" collapsed="false">
      <c r="A18" s="1" t="n">
        <v>17</v>
      </c>
      <c r="B18" s="4" t="s">
        <v>16</v>
      </c>
      <c r="C18" s="1" t="n">
        <v>21</v>
      </c>
      <c r="D18" s="4" t="s">
        <v>32</v>
      </c>
      <c r="E18" s="1" t="n">
        <v>24</v>
      </c>
      <c r="F18" s="1" t="n">
        <v>45</v>
      </c>
      <c r="G18" s="1" t="n">
        <v>10</v>
      </c>
      <c r="H18" s="1" t="n">
        <v>5</v>
      </c>
      <c r="I18" s="1" t="s">
        <v>187</v>
      </c>
      <c r="J18" s="1" t="str">
        <f aca="false">_xlfn.CONCAT(H18,I18)</f>
        <v>5B</v>
      </c>
      <c r="K18" s="5" t="str">
        <f aca="false">_xlfn.CONCAT(B18, " / ", D18)</f>
        <v>DeWitt / Frankel</v>
      </c>
    </row>
    <row r="19" customFormat="false" ht="12.8" hidden="false" customHeight="false" outlineLevel="0" collapsed="false">
      <c r="A19" s="1" t="n">
        <v>18</v>
      </c>
      <c r="B19" s="4" t="s">
        <v>28</v>
      </c>
      <c r="C19" s="1" t="n">
        <v>28</v>
      </c>
      <c r="D19" s="4" t="s">
        <v>33</v>
      </c>
      <c r="E19" s="1" t="n">
        <v>40</v>
      </c>
      <c r="F19" s="1" t="n">
        <v>68</v>
      </c>
      <c r="G19" s="1" t="n">
        <v>18</v>
      </c>
      <c r="H19" s="1" t="n">
        <v>9</v>
      </c>
      <c r="I19" s="1" t="s">
        <v>187</v>
      </c>
      <c r="J19" s="1" t="str">
        <f aca="false">_xlfn.CONCAT(H19,I19)</f>
        <v>9B</v>
      </c>
      <c r="K19" s="5" t="str">
        <f aca="false">_xlfn.CONCAT(B19, " / ", D19)</f>
        <v>Obst / Springo</v>
      </c>
    </row>
    <row r="20" customFormat="false" ht="12.8" hidden="false" customHeight="false" outlineLevel="0" collapsed="false">
      <c r="A20" s="1" t="n">
        <v>19</v>
      </c>
      <c r="B20" s="4" t="s">
        <v>24</v>
      </c>
      <c r="C20" s="1" t="n">
        <v>31</v>
      </c>
      <c r="D20" s="4" t="s">
        <v>11</v>
      </c>
      <c r="E20" s="1" t="n">
        <v>41</v>
      </c>
      <c r="F20" s="1" t="n">
        <v>72</v>
      </c>
      <c r="G20" s="1" t="n">
        <v>19</v>
      </c>
      <c r="H20" s="1" t="n">
        <v>10</v>
      </c>
      <c r="I20" s="1" t="s">
        <v>187</v>
      </c>
      <c r="J20" s="1" t="str">
        <f aca="false">_xlfn.CONCAT(H20,I20)</f>
        <v>10B</v>
      </c>
      <c r="K20" s="5" t="str">
        <f aca="false">_xlfn.CONCAT(B20, " / ", D20)</f>
        <v>Cooper / West</v>
      </c>
    </row>
    <row r="21" customFormat="false" ht="12.8" hidden="false" customHeight="false" outlineLevel="0" collapsed="false">
      <c r="A21" s="1" t="n">
        <v>20</v>
      </c>
      <c r="B21" s="4" t="s">
        <v>19</v>
      </c>
      <c r="C21" s="1" t="n">
        <v>7</v>
      </c>
      <c r="D21" s="4" t="s">
        <v>190</v>
      </c>
      <c r="E21" s="1" t="s">
        <v>191</v>
      </c>
      <c r="F21" s="1" t="n">
        <v>100</v>
      </c>
      <c r="G21" s="1" t="n">
        <v>20</v>
      </c>
      <c r="H21" s="1" t="n">
        <v>10</v>
      </c>
      <c r="I21" s="1" t="s">
        <v>186</v>
      </c>
      <c r="J21" s="1" t="str">
        <f aca="false">_xlfn.CONCAT(H21,I21)</f>
        <v>10A</v>
      </c>
      <c r="K21" s="5" t="str">
        <f aca="false">_xlfn.CONCAT(B21, " / ", D21)</f>
        <v>Heitner / Ponzio / Fields</v>
      </c>
    </row>
    <row r="36" customFormat="false" ht="12.8" hidden="false" customHeight="false" outlineLevel="0" collapsed="false">
      <c r="F36" s="6"/>
    </row>
    <row r="40" customFormat="false" ht="12.8" hidden="false" customHeight="false" outlineLevel="0" collapsed="false">
      <c r="F4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57"/>
    <col collapsed="false" customWidth="true" hidden="false" outlineLevel="0" max="2" min="2" style="5" width="11.62"/>
  </cols>
  <sheetData>
    <row r="1" customFormat="false" ht="12.8" hidden="false" customHeight="false" outlineLevel="0" collapsed="false">
      <c r="A1" s="2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</row>
    <row r="2" customFormat="false" ht="12.8" hidden="false" customHeight="false" outlineLevel="0" collapsed="false">
      <c r="A2" s="2" t="n">
        <v>1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  <c r="G2" s="5" t="s">
        <v>197</v>
      </c>
      <c r="H2" s="5" t="s">
        <v>198</v>
      </c>
      <c r="I2" s="5" t="s">
        <v>199</v>
      </c>
      <c r="J2" s="5" t="s">
        <v>200</v>
      </c>
      <c r="K2" s="5" t="s">
        <v>201</v>
      </c>
    </row>
    <row r="3" customFormat="false" ht="12.8" hidden="false" customHeight="false" outlineLevel="0" collapsed="false">
      <c r="A3" s="2" t="n">
        <v>2</v>
      </c>
      <c r="B3" s="5" t="s">
        <v>202</v>
      </c>
      <c r="C3" s="5" t="s">
        <v>203</v>
      </c>
      <c r="D3" s="5" t="s">
        <v>204</v>
      </c>
      <c r="E3" s="5" t="s">
        <v>205</v>
      </c>
      <c r="F3" s="5" t="s">
        <v>206</v>
      </c>
      <c r="G3" s="5" t="s">
        <v>207</v>
      </c>
      <c r="H3" s="5" t="s">
        <v>208</v>
      </c>
      <c r="I3" s="5" t="s">
        <v>209</v>
      </c>
      <c r="J3" s="5" t="s">
        <v>210</v>
      </c>
      <c r="K3" s="5" t="s">
        <v>211</v>
      </c>
    </row>
    <row r="4" customFormat="false" ht="12.8" hidden="false" customHeight="false" outlineLevel="0" collapsed="false">
      <c r="A4" s="2" t="n">
        <v>3</v>
      </c>
      <c r="B4" s="5" t="s">
        <v>212</v>
      </c>
      <c r="C4" s="5" t="s">
        <v>213</v>
      </c>
      <c r="D4" s="5" t="s">
        <v>214</v>
      </c>
      <c r="E4" s="5" t="s">
        <v>215</v>
      </c>
      <c r="F4" s="5" t="s">
        <v>216</v>
      </c>
      <c r="G4" s="5" t="s">
        <v>217</v>
      </c>
      <c r="H4" s="5" t="s">
        <v>218</v>
      </c>
      <c r="I4" s="5" t="s">
        <v>219</v>
      </c>
      <c r="J4" s="5" t="s">
        <v>220</v>
      </c>
      <c r="K4" s="5" t="s">
        <v>221</v>
      </c>
    </row>
    <row r="5" customFormat="false" ht="12.8" hidden="false" customHeight="false" outlineLevel="0" collapsed="false">
      <c r="A5" s="2" t="n">
        <v>4</v>
      </c>
      <c r="B5" s="5" t="s">
        <v>222</v>
      </c>
      <c r="C5" s="5" t="s">
        <v>223</v>
      </c>
      <c r="D5" s="5" t="s">
        <v>224</v>
      </c>
      <c r="E5" s="5" t="s">
        <v>225</v>
      </c>
      <c r="F5" s="5" t="s">
        <v>226</v>
      </c>
      <c r="G5" s="5" t="s">
        <v>227</v>
      </c>
      <c r="H5" s="5" t="s">
        <v>228</v>
      </c>
      <c r="I5" s="5" t="s">
        <v>229</v>
      </c>
      <c r="J5" s="5" t="s">
        <v>230</v>
      </c>
      <c r="K5" s="5" t="s">
        <v>231</v>
      </c>
    </row>
    <row r="6" customFormat="false" ht="12.8" hidden="false" customHeight="false" outlineLevel="0" collapsed="false">
      <c r="A6" s="2" t="n">
        <v>5</v>
      </c>
      <c r="B6" s="5" t="s">
        <v>232</v>
      </c>
      <c r="C6" s="5" t="s">
        <v>233</v>
      </c>
      <c r="D6" s="5" t="s">
        <v>234</v>
      </c>
      <c r="E6" s="5" t="s">
        <v>235</v>
      </c>
      <c r="F6" s="5" t="s">
        <v>236</v>
      </c>
      <c r="G6" s="5" t="s">
        <v>237</v>
      </c>
      <c r="H6" s="5" t="s">
        <v>238</v>
      </c>
      <c r="I6" s="5" t="s">
        <v>239</v>
      </c>
      <c r="J6" s="5" t="s">
        <v>240</v>
      </c>
      <c r="K6" s="5" t="s">
        <v>241</v>
      </c>
    </row>
    <row r="7" customFormat="false" ht="12.8" hidden="false" customHeight="false" outlineLevel="0" collapsed="false">
      <c r="A7" s="2" t="n">
        <v>6</v>
      </c>
      <c r="B7" s="5" t="s">
        <v>242</v>
      </c>
      <c r="C7" s="5" t="s">
        <v>243</v>
      </c>
      <c r="D7" s="5" t="s">
        <v>244</v>
      </c>
      <c r="E7" s="5" t="s">
        <v>245</v>
      </c>
      <c r="F7" s="5" t="s">
        <v>246</v>
      </c>
      <c r="G7" s="5" t="s">
        <v>247</v>
      </c>
      <c r="H7" s="5" t="s">
        <v>248</v>
      </c>
      <c r="I7" s="5" t="s">
        <v>249</v>
      </c>
      <c r="J7" s="5" t="s">
        <v>250</v>
      </c>
      <c r="K7" s="5" t="s">
        <v>251</v>
      </c>
    </row>
    <row r="8" customFormat="false" ht="12.8" hidden="false" customHeight="false" outlineLevel="0" collapsed="false">
      <c r="A8" s="2" t="n">
        <v>7</v>
      </c>
      <c r="B8" s="5" t="s">
        <v>252</v>
      </c>
      <c r="C8" s="5" t="s">
        <v>253</v>
      </c>
      <c r="D8" s="5" t="s">
        <v>254</v>
      </c>
      <c r="E8" s="5" t="s">
        <v>255</v>
      </c>
      <c r="F8" s="5" t="s">
        <v>256</v>
      </c>
      <c r="G8" s="5" t="s">
        <v>257</v>
      </c>
      <c r="H8" s="5" t="s">
        <v>258</v>
      </c>
      <c r="I8" s="5" t="s">
        <v>259</v>
      </c>
      <c r="J8" s="5" t="s">
        <v>260</v>
      </c>
      <c r="K8" s="5" t="s">
        <v>261</v>
      </c>
    </row>
    <row r="9" customFormat="false" ht="12.8" hidden="false" customHeight="false" outlineLevel="0" collapsed="false">
      <c r="A9" s="2" t="n">
        <v>8</v>
      </c>
      <c r="B9" s="5" t="s">
        <v>262</v>
      </c>
      <c r="C9" s="5" t="s">
        <v>263</v>
      </c>
      <c r="D9" s="5" t="s">
        <v>264</v>
      </c>
      <c r="E9" s="5" t="s">
        <v>265</v>
      </c>
      <c r="F9" s="5" t="s">
        <v>266</v>
      </c>
      <c r="G9" s="5" t="s">
        <v>267</v>
      </c>
      <c r="H9" s="5" t="s">
        <v>268</v>
      </c>
      <c r="I9" s="5" t="s">
        <v>269</v>
      </c>
      <c r="J9" s="5" t="s">
        <v>270</v>
      </c>
      <c r="K9" s="5" t="s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0" topLeftCell="F1" activePane="topRight" state="frozen"/>
      <selection pane="topLeft" activeCell="A1" activeCellId="0" sqref="A1"/>
      <selection pane="topRight" activeCell="A24" activeCellId="0" sqref="A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24.77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3" min="6" style="6" width="5.46"/>
    <col collapsed="false" customWidth="true" hidden="false" outlineLevel="0" max="14" min="14" style="6" width="8.96"/>
    <col collapsed="false" customWidth="true" hidden="false" outlineLevel="0" max="22" min="15" style="6" width="5.46"/>
    <col collapsed="false" customWidth="true" hidden="false" outlineLevel="0" max="23" min="23" style="6" width="9.16"/>
    <col collapsed="false" customWidth="true" hidden="false" outlineLevel="0" max="24" min="24" style="7" width="7.88"/>
    <col collapsed="false" customWidth="true" hidden="false" outlineLevel="0" max="25" min="25" style="5" width="5.06"/>
  </cols>
  <sheetData>
    <row r="1" customFormat="false" ht="12.8" hidden="false" customHeight="false" outlineLevel="0" collapsed="false">
      <c r="A1" s="2" t="s">
        <v>184</v>
      </c>
      <c r="B1" s="3" t="s">
        <v>272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8" t="s">
        <v>168</v>
      </c>
    </row>
    <row r="2" customFormat="false" ht="12.8" hidden="false" customHeight="false" outlineLevel="0" collapsed="false">
      <c r="A2" s="1" t="s">
        <v>273</v>
      </c>
      <c r="B2" s="4" t="s">
        <v>274</v>
      </c>
      <c r="C2" s="6" t="n">
        <f aca="false">COUNTIF(F2:M2,10)</f>
        <v>4</v>
      </c>
      <c r="D2" s="6" t="n">
        <f aca="false">COUNTIF(O2:V2,10)</f>
        <v>4</v>
      </c>
      <c r="E2" s="7" t="n">
        <f aca="false">C2/(C2+D2)</f>
        <v>0.5</v>
      </c>
      <c r="F2" s="6" t="n">
        <v>6</v>
      </c>
      <c r="G2" s="6" t="n">
        <v>10</v>
      </c>
      <c r="H2" s="6" t="n">
        <v>10</v>
      </c>
      <c r="I2" s="6" t="n">
        <v>7</v>
      </c>
      <c r="J2" s="6" t="n">
        <v>10</v>
      </c>
      <c r="K2" s="6" t="n">
        <v>4</v>
      </c>
      <c r="L2" s="6" t="n">
        <v>10</v>
      </c>
      <c r="M2" s="6" t="n">
        <v>4</v>
      </c>
      <c r="N2" s="6" t="n">
        <v>61</v>
      </c>
      <c r="O2" s="6" t="n">
        <v>10</v>
      </c>
      <c r="P2" s="6" t="n">
        <v>8</v>
      </c>
      <c r="Q2" s="6" t="n">
        <v>3</v>
      </c>
      <c r="R2" s="6" t="n">
        <v>10</v>
      </c>
      <c r="S2" s="6" t="n">
        <v>9</v>
      </c>
      <c r="T2" s="6" t="n">
        <v>10</v>
      </c>
      <c r="U2" s="6" t="n">
        <v>2</v>
      </c>
      <c r="V2" s="6" t="n">
        <v>10</v>
      </c>
      <c r="W2" s="6" t="n">
        <v>62</v>
      </c>
      <c r="X2" s="7" t="n">
        <f aca="false">N2/(N2+W2)</f>
        <v>0.495934959349594</v>
      </c>
    </row>
    <row r="3" customFormat="false" ht="12.8" hidden="false" customHeight="false" outlineLevel="0" collapsed="false">
      <c r="A3" s="1" t="s">
        <v>275</v>
      </c>
      <c r="B3" s="4" t="s">
        <v>276</v>
      </c>
      <c r="C3" s="6" t="n">
        <f aca="false">COUNTIF(F3:M3,10)</f>
        <v>6</v>
      </c>
      <c r="D3" s="6" t="n">
        <f aca="false">COUNTIF(O3:V3,10)</f>
        <v>2</v>
      </c>
      <c r="E3" s="7" t="n">
        <f aca="false">C3/(C3+D3)</f>
        <v>0.75</v>
      </c>
      <c r="F3" s="6" t="n">
        <v>10</v>
      </c>
      <c r="G3" s="6" t="n">
        <v>6</v>
      </c>
      <c r="H3" s="6" t="n">
        <v>10</v>
      </c>
      <c r="I3" s="6" t="n">
        <v>5</v>
      </c>
      <c r="J3" s="6" t="n">
        <v>10</v>
      </c>
      <c r="K3" s="6" t="n">
        <v>10</v>
      </c>
      <c r="L3" s="6" t="n">
        <v>10</v>
      </c>
      <c r="M3" s="6" t="n">
        <v>10</v>
      </c>
      <c r="N3" s="6" t="n">
        <v>71</v>
      </c>
      <c r="O3" s="6" t="n">
        <v>5</v>
      </c>
      <c r="P3" s="6" t="n">
        <v>10</v>
      </c>
      <c r="Q3" s="6" t="n">
        <v>4</v>
      </c>
      <c r="R3" s="6" t="n">
        <v>10</v>
      </c>
      <c r="S3" s="6" t="n">
        <v>7</v>
      </c>
      <c r="T3" s="6" t="n">
        <v>3</v>
      </c>
      <c r="U3" s="6" t="n">
        <v>7</v>
      </c>
      <c r="V3" s="6" t="n">
        <v>9</v>
      </c>
      <c r="W3" s="6" t="n">
        <v>55</v>
      </c>
      <c r="X3" s="7" t="n">
        <f aca="false">N3/(N3+W3)</f>
        <v>0.563492063492064</v>
      </c>
    </row>
    <row r="4" customFormat="false" ht="12.8" hidden="false" customHeight="false" outlineLevel="0" collapsed="false">
      <c r="A4" s="1" t="s">
        <v>277</v>
      </c>
      <c r="B4" s="4" t="s">
        <v>278</v>
      </c>
      <c r="C4" s="6" t="n">
        <f aca="false">COUNTIF(F4:M4,10)</f>
        <v>3</v>
      </c>
      <c r="D4" s="6" t="n">
        <f aca="false">COUNTIF(O4:V4,10)</f>
        <v>5</v>
      </c>
      <c r="E4" s="7" t="n">
        <f aca="false">C4/(C4+D4)</f>
        <v>0.375</v>
      </c>
      <c r="F4" s="6" t="n">
        <v>10</v>
      </c>
      <c r="G4" s="6" t="n">
        <v>2</v>
      </c>
      <c r="H4" s="6" t="n">
        <v>6</v>
      </c>
      <c r="I4" s="6" t="n">
        <v>9</v>
      </c>
      <c r="J4" s="6" t="n">
        <v>7</v>
      </c>
      <c r="K4" s="6" t="n">
        <v>3</v>
      </c>
      <c r="L4" s="6" t="n">
        <v>10</v>
      </c>
      <c r="M4" s="6" t="n">
        <v>10</v>
      </c>
      <c r="N4" s="6" t="n">
        <v>57</v>
      </c>
      <c r="O4" s="6" t="n">
        <v>6</v>
      </c>
      <c r="P4" s="6" t="n">
        <v>10</v>
      </c>
      <c r="Q4" s="6" t="n">
        <v>10</v>
      </c>
      <c r="R4" s="6" t="n">
        <v>10</v>
      </c>
      <c r="S4" s="6" t="n">
        <v>10</v>
      </c>
      <c r="T4" s="6" t="n">
        <v>10</v>
      </c>
      <c r="U4" s="6" t="n">
        <v>8</v>
      </c>
      <c r="V4" s="6" t="n">
        <v>4</v>
      </c>
      <c r="W4" s="6" t="n">
        <v>68</v>
      </c>
      <c r="X4" s="7" t="n">
        <f aca="false">N4/(N4+W4)</f>
        <v>0.456</v>
      </c>
    </row>
    <row r="5" customFormat="false" ht="12.8" hidden="false" customHeight="false" outlineLevel="0" collapsed="false">
      <c r="A5" s="1" t="s">
        <v>279</v>
      </c>
      <c r="B5" s="4" t="s">
        <v>280</v>
      </c>
      <c r="C5" s="6" t="n">
        <f aca="false">COUNTIF(F5:M5,10)</f>
        <v>4</v>
      </c>
      <c r="D5" s="6" t="n">
        <f aca="false">COUNTIF(O5:V5,10)</f>
        <v>4</v>
      </c>
      <c r="E5" s="7" t="n">
        <f aca="false">C5/(C5+D5)</f>
        <v>0.5</v>
      </c>
      <c r="F5" s="6" t="n">
        <v>10</v>
      </c>
      <c r="G5" s="6" t="n">
        <v>8</v>
      </c>
      <c r="H5" s="6" t="n">
        <v>4</v>
      </c>
      <c r="I5" s="6" t="n">
        <v>10</v>
      </c>
      <c r="J5" s="6" t="n">
        <v>10</v>
      </c>
      <c r="K5" s="6" t="n">
        <v>10</v>
      </c>
      <c r="L5" s="6" t="n">
        <v>7</v>
      </c>
      <c r="M5" s="6" t="n">
        <v>8</v>
      </c>
      <c r="N5" s="6" t="n">
        <v>67</v>
      </c>
      <c r="O5" s="6" t="n">
        <v>9</v>
      </c>
      <c r="P5" s="6" t="n">
        <v>10</v>
      </c>
      <c r="Q5" s="6" t="n">
        <v>10</v>
      </c>
      <c r="R5" s="6" t="n">
        <v>3</v>
      </c>
      <c r="S5" s="6" t="n">
        <v>7</v>
      </c>
      <c r="T5" s="6" t="n">
        <v>3</v>
      </c>
      <c r="U5" s="6" t="n">
        <v>10</v>
      </c>
      <c r="V5" s="6" t="n">
        <v>10</v>
      </c>
      <c r="W5" s="6" t="n">
        <v>62</v>
      </c>
      <c r="X5" s="7" t="n">
        <f aca="false">N5/(N5+W5)</f>
        <v>0.51937984496124</v>
      </c>
    </row>
    <row r="6" customFormat="false" ht="12.8" hidden="false" customHeight="false" outlineLevel="0" collapsed="false">
      <c r="A6" s="1" t="s">
        <v>281</v>
      </c>
      <c r="B6" s="4" t="s">
        <v>282</v>
      </c>
      <c r="C6" s="6" t="n">
        <f aca="false">COUNTIF(F6:M6,10)</f>
        <v>7</v>
      </c>
      <c r="D6" s="6" t="n">
        <f aca="false">COUNTIF(O6:V6,10)</f>
        <v>1</v>
      </c>
      <c r="E6" s="7" t="n">
        <f aca="false">C6/(C6+D6)</f>
        <v>0.875</v>
      </c>
      <c r="F6" s="6" t="n">
        <v>5</v>
      </c>
      <c r="G6" s="6" t="n">
        <v>10</v>
      </c>
      <c r="H6" s="6" t="n">
        <v>10</v>
      </c>
      <c r="I6" s="6" t="n">
        <v>10</v>
      </c>
      <c r="J6" s="6" t="n">
        <v>10</v>
      </c>
      <c r="K6" s="6" t="n">
        <v>10</v>
      </c>
      <c r="L6" s="6" t="n">
        <v>10</v>
      </c>
      <c r="M6" s="6" t="n">
        <v>10</v>
      </c>
      <c r="N6" s="6" t="n">
        <v>75</v>
      </c>
      <c r="O6" s="6" t="n">
        <v>10</v>
      </c>
      <c r="P6" s="6" t="n">
        <v>2</v>
      </c>
      <c r="Q6" s="6" t="n">
        <v>4</v>
      </c>
      <c r="R6" s="6" t="n">
        <v>2</v>
      </c>
      <c r="S6" s="6" t="n">
        <v>9</v>
      </c>
      <c r="T6" s="6" t="n">
        <v>0</v>
      </c>
      <c r="U6" s="6" t="n">
        <v>3</v>
      </c>
      <c r="V6" s="6" t="n">
        <v>4</v>
      </c>
      <c r="W6" s="6" t="n">
        <v>34</v>
      </c>
      <c r="X6" s="7" t="n">
        <f aca="false">N6/(N6+W6)</f>
        <v>0.688073394495413</v>
      </c>
    </row>
    <row r="7" customFormat="false" ht="12.8" hidden="false" customHeight="false" outlineLevel="0" collapsed="false">
      <c r="A7" s="1" t="s">
        <v>283</v>
      </c>
      <c r="B7" s="4" t="s">
        <v>284</v>
      </c>
      <c r="C7" s="6" t="n">
        <f aca="false">COUNTIF(F7:M7,10)</f>
        <v>3</v>
      </c>
      <c r="D7" s="6" t="n">
        <f aca="false">COUNTIF(O7:V7,10)</f>
        <v>5</v>
      </c>
      <c r="E7" s="7" t="n">
        <f aca="false">C7/(C7+D7)</f>
        <v>0.375</v>
      </c>
      <c r="F7" s="6" t="n">
        <v>9</v>
      </c>
      <c r="G7" s="6" t="n">
        <v>10</v>
      </c>
      <c r="H7" s="6" t="n">
        <v>10</v>
      </c>
      <c r="I7" s="6" t="n">
        <v>10</v>
      </c>
      <c r="J7" s="6" t="n">
        <v>9</v>
      </c>
      <c r="K7" s="6" t="n">
        <v>1</v>
      </c>
      <c r="L7" s="6" t="n">
        <v>7</v>
      </c>
      <c r="M7" s="6" t="n">
        <v>1</v>
      </c>
      <c r="N7" s="6" t="n">
        <v>57</v>
      </c>
      <c r="O7" s="6" t="n">
        <v>10</v>
      </c>
      <c r="P7" s="6" t="n">
        <v>6</v>
      </c>
      <c r="Q7" s="6" t="n">
        <v>3</v>
      </c>
      <c r="R7" s="6" t="n">
        <v>9</v>
      </c>
      <c r="S7" s="6" t="n">
        <v>10</v>
      </c>
      <c r="T7" s="6" t="n">
        <v>10</v>
      </c>
      <c r="U7" s="6" t="n">
        <v>10</v>
      </c>
      <c r="V7" s="6" t="n">
        <v>10</v>
      </c>
      <c r="W7" s="6" t="n">
        <v>68</v>
      </c>
      <c r="X7" s="7" t="n">
        <f aca="false">N7/(N7+W7)</f>
        <v>0.456</v>
      </c>
    </row>
    <row r="8" customFormat="false" ht="12.8" hidden="false" customHeight="false" outlineLevel="0" collapsed="false">
      <c r="A8" s="1" t="s">
        <v>285</v>
      </c>
      <c r="B8" s="4" t="s">
        <v>286</v>
      </c>
      <c r="C8" s="6" t="n">
        <f aca="false">COUNTIF(F8:M8,10)</f>
        <v>5</v>
      </c>
      <c r="D8" s="6" t="n">
        <f aca="false">COUNTIF(O8:V8,10)</f>
        <v>3</v>
      </c>
      <c r="E8" s="7" t="n">
        <f aca="false">C8/(C8+D8)</f>
        <v>0.625</v>
      </c>
      <c r="F8" s="6" t="n">
        <v>4</v>
      </c>
      <c r="G8" s="6" t="n">
        <v>10</v>
      </c>
      <c r="H8" s="6" t="n">
        <v>3</v>
      </c>
      <c r="I8" s="6" t="n">
        <v>10</v>
      </c>
      <c r="J8" s="6" t="n">
        <v>10</v>
      </c>
      <c r="K8" s="6" t="n">
        <v>0</v>
      </c>
      <c r="L8" s="6" t="n">
        <v>10</v>
      </c>
      <c r="M8" s="6" t="n">
        <v>10</v>
      </c>
      <c r="N8" s="6" t="n">
        <v>57</v>
      </c>
      <c r="O8" s="6" t="n">
        <v>10</v>
      </c>
      <c r="P8" s="6" t="n">
        <v>5</v>
      </c>
      <c r="Q8" s="6" t="n">
        <v>10</v>
      </c>
      <c r="R8" s="6" t="n">
        <v>5</v>
      </c>
      <c r="S8" s="6" t="n">
        <v>7</v>
      </c>
      <c r="T8" s="6" t="n">
        <v>10</v>
      </c>
      <c r="U8" s="6" t="n">
        <v>7</v>
      </c>
      <c r="V8" s="6" t="n">
        <v>8</v>
      </c>
      <c r="W8" s="6" t="n">
        <v>62</v>
      </c>
      <c r="X8" s="7" t="n">
        <f aca="false">N8/(N8+W8)</f>
        <v>0.478991596638656</v>
      </c>
    </row>
    <row r="9" customFormat="false" ht="12.8" hidden="false" customHeight="false" outlineLevel="0" collapsed="false">
      <c r="A9" s="1" t="s">
        <v>287</v>
      </c>
      <c r="B9" s="4" t="s">
        <v>288</v>
      </c>
      <c r="C9" s="6" t="n">
        <f aca="false">COUNTIF(F9:M9,10)</f>
        <v>2</v>
      </c>
      <c r="D9" s="6" t="n">
        <f aca="false">COUNTIF(O9:V9,10)</f>
        <v>6</v>
      </c>
      <c r="E9" s="7" t="n">
        <f aca="false">C9/(C9+D9)</f>
        <v>0.25</v>
      </c>
      <c r="F9" s="6" t="n">
        <v>10</v>
      </c>
      <c r="G9" s="6" t="n">
        <v>5</v>
      </c>
      <c r="H9" s="6" t="n">
        <v>3</v>
      </c>
      <c r="I9" s="6" t="n">
        <v>3</v>
      </c>
      <c r="J9" s="6" t="n">
        <v>9</v>
      </c>
      <c r="K9" s="6" t="n">
        <v>10</v>
      </c>
      <c r="L9" s="6" t="n">
        <v>8</v>
      </c>
      <c r="M9" s="6" t="n">
        <v>9</v>
      </c>
      <c r="N9" s="6" t="n">
        <v>57</v>
      </c>
      <c r="O9" s="6" t="n">
        <v>9</v>
      </c>
      <c r="P9" s="6" t="n">
        <v>10</v>
      </c>
      <c r="Q9" s="6" t="n">
        <v>10</v>
      </c>
      <c r="R9" s="6" t="n">
        <v>10</v>
      </c>
      <c r="S9" s="6" t="n">
        <v>10</v>
      </c>
      <c r="T9" s="6" t="n">
        <v>4</v>
      </c>
      <c r="U9" s="6" t="n">
        <v>10</v>
      </c>
      <c r="V9" s="6" t="n">
        <v>10</v>
      </c>
      <c r="W9" s="6" t="n">
        <v>73</v>
      </c>
      <c r="X9" s="7" t="n">
        <f aca="false">N9/(N9+W9)</f>
        <v>0.438461538461538</v>
      </c>
    </row>
    <row r="10" customFormat="false" ht="12.8" hidden="false" customHeight="false" outlineLevel="0" collapsed="false">
      <c r="A10" s="1" t="s">
        <v>289</v>
      </c>
      <c r="B10" s="4" t="s">
        <v>290</v>
      </c>
      <c r="C10" s="6" t="n">
        <f aca="false">COUNTIF(F10:M10,10)</f>
        <v>4</v>
      </c>
      <c r="D10" s="6" t="n">
        <f aca="false">COUNTIF(O10:V10,10)</f>
        <v>4</v>
      </c>
      <c r="E10" s="7" t="n">
        <f aca="false">C10/(C10+D10)</f>
        <v>0.5</v>
      </c>
      <c r="F10" s="6" t="n">
        <v>10</v>
      </c>
      <c r="G10" s="6" t="n">
        <v>10</v>
      </c>
      <c r="H10" s="6" t="n">
        <v>4</v>
      </c>
      <c r="I10" s="6" t="n">
        <v>10</v>
      </c>
      <c r="J10" s="6" t="n">
        <v>7</v>
      </c>
      <c r="K10" s="6" t="n">
        <v>10</v>
      </c>
      <c r="L10" s="6" t="n">
        <v>3</v>
      </c>
      <c r="M10" s="6" t="n">
        <v>4</v>
      </c>
      <c r="N10" s="6" t="n">
        <v>58</v>
      </c>
      <c r="O10" s="6" t="n">
        <v>4</v>
      </c>
      <c r="P10" s="6" t="n">
        <v>5</v>
      </c>
      <c r="Q10" s="6" t="n">
        <v>10</v>
      </c>
      <c r="R10" s="6" t="n">
        <v>7</v>
      </c>
      <c r="S10" s="6" t="n">
        <v>10</v>
      </c>
      <c r="T10" s="6" t="n">
        <v>1</v>
      </c>
      <c r="U10" s="6" t="n">
        <v>10</v>
      </c>
      <c r="V10" s="6" t="n">
        <v>10</v>
      </c>
      <c r="W10" s="6" t="n">
        <v>57</v>
      </c>
      <c r="X10" s="7" t="n">
        <f aca="false">N10/(N10+W10)</f>
        <v>0.504347826086957</v>
      </c>
    </row>
    <row r="11" customFormat="false" ht="12.8" hidden="false" customHeight="false" outlineLevel="0" collapsed="false">
      <c r="A11" s="1" t="s">
        <v>291</v>
      </c>
      <c r="B11" s="4" t="s">
        <v>292</v>
      </c>
      <c r="C11" s="6" t="n">
        <f aca="false">COUNTIF(F11:M11,10)</f>
        <v>2</v>
      </c>
      <c r="D11" s="6" t="n">
        <f aca="false">COUNTIF(O11:V11,10)</f>
        <v>6</v>
      </c>
      <c r="E11" s="7" t="n">
        <f aca="false">C11/(C11+D11)</f>
        <v>0.25</v>
      </c>
      <c r="F11" s="6" t="n">
        <v>9</v>
      </c>
      <c r="G11" s="6" t="n">
        <v>5</v>
      </c>
      <c r="H11" s="6" t="n">
        <v>10</v>
      </c>
      <c r="I11" s="6" t="n">
        <v>2</v>
      </c>
      <c r="J11" s="6" t="n">
        <v>7</v>
      </c>
      <c r="K11" s="6" t="n">
        <v>3</v>
      </c>
      <c r="L11" s="6" t="n">
        <v>2</v>
      </c>
      <c r="M11" s="6" t="n">
        <v>10</v>
      </c>
      <c r="N11" s="6" t="n">
        <v>48</v>
      </c>
      <c r="O11" s="6" t="n">
        <v>10</v>
      </c>
      <c r="P11" s="6" t="n">
        <v>10</v>
      </c>
      <c r="Q11" s="6" t="n">
        <v>6</v>
      </c>
      <c r="R11" s="6" t="n">
        <v>10</v>
      </c>
      <c r="S11" s="6" t="n">
        <v>10</v>
      </c>
      <c r="T11" s="6" t="n">
        <v>10</v>
      </c>
      <c r="U11" s="6" t="n">
        <v>10</v>
      </c>
      <c r="V11" s="6" t="n">
        <v>1</v>
      </c>
      <c r="W11" s="6" t="n">
        <v>67</v>
      </c>
      <c r="X11" s="7" t="n">
        <f aca="false">N11/(N11+W11)</f>
        <v>0.417391304347826</v>
      </c>
    </row>
    <row r="12" customFormat="false" ht="12.8" hidden="false" customHeight="false" outlineLevel="0" collapsed="false">
      <c r="A12" s="1" t="s">
        <v>293</v>
      </c>
      <c r="B12" s="4" t="s">
        <v>294</v>
      </c>
      <c r="C12" s="6" t="n">
        <f aca="false">COUNTIF(F12:M12,10)</f>
        <v>5</v>
      </c>
      <c r="D12" s="6" t="n">
        <f aca="false">COUNTIF(O12:V12,10)</f>
        <v>3</v>
      </c>
      <c r="E12" s="7" t="n">
        <f aca="false">C12/(C12+D12)</f>
        <v>0.625</v>
      </c>
      <c r="F12" s="6" t="n">
        <v>10</v>
      </c>
      <c r="G12" s="6" t="n">
        <v>9</v>
      </c>
      <c r="H12" s="6" t="n">
        <v>10</v>
      </c>
      <c r="I12" s="6" t="n">
        <v>10</v>
      </c>
      <c r="J12" s="6" t="n">
        <v>5</v>
      </c>
      <c r="K12" s="6" t="n">
        <v>10</v>
      </c>
      <c r="L12" s="6" t="n">
        <v>10</v>
      </c>
      <c r="M12" s="6" t="n">
        <v>7</v>
      </c>
      <c r="N12" s="6" t="n">
        <v>71</v>
      </c>
      <c r="O12" s="6" t="n">
        <v>0</v>
      </c>
      <c r="P12" s="6" t="n">
        <v>10</v>
      </c>
      <c r="Q12" s="6" t="n">
        <v>7</v>
      </c>
      <c r="R12" s="6" t="n">
        <v>7</v>
      </c>
      <c r="S12" s="6" t="n">
        <v>10</v>
      </c>
      <c r="T12" s="6" t="n">
        <v>8</v>
      </c>
      <c r="U12" s="6" t="n">
        <v>0</v>
      </c>
      <c r="V12" s="6" t="n">
        <v>10</v>
      </c>
      <c r="W12" s="6" t="n">
        <v>52</v>
      </c>
      <c r="X12" s="7" t="n">
        <f aca="false">N12/(N12+W12)</f>
        <v>0.577235772357724</v>
      </c>
    </row>
    <row r="13" customFormat="false" ht="12.8" hidden="false" customHeight="false" outlineLevel="0" collapsed="false">
      <c r="A13" s="1" t="s">
        <v>295</v>
      </c>
      <c r="B13" s="4" t="s">
        <v>296</v>
      </c>
      <c r="C13" s="6" t="n">
        <f aca="false">COUNTIF(F13:M13,10)</f>
        <v>2</v>
      </c>
      <c r="D13" s="6" t="n">
        <f aca="false">COUNTIF(O13:V13,10)</f>
        <v>6</v>
      </c>
      <c r="E13" s="7" t="n">
        <f aca="false">C13/(C13+D13)</f>
        <v>0.25</v>
      </c>
      <c r="F13" s="6" t="n">
        <v>8</v>
      </c>
      <c r="G13" s="6" t="n">
        <v>7</v>
      </c>
      <c r="H13" s="6" t="n">
        <v>10</v>
      </c>
      <c r="I13" s="6" t="n">
        <v>3</v>
      </c>
      <c r="J13" s="6" t="n">
        <v>3</v>
      </c>
      <c r="K13" s="6" t="n">
        <v>8</v>
      </c>
      <c r="L13" s="6" t="n">
        <v>8</v>
      </c>
      <c r="M13" s="14" t="n">
        <v>10</v>
      </c>
      <c r="N13" s="6" t="n">
        <v>57</v>
      </c>
      <c r="O13" s="6" t="n">
        <v>10</v>
      </c>
      <c r="P13" s="6" t="n">
        <v>10</v>
      </c>
      <c r="Q13" s="6" t="n">
        <v>6</v>
      </c>
      <c r="R13" s="6" t="n">
        <v>10</v>
      </c>
      <c r="S13" s="6" t="n">
        <v>10</v>
      </c>
      <c r="T13" s="6" t="n">
        <v>10</v>
      </c>
      <c r="U13" s="6" t="n">
        <v>10</v>
      </c>
      <c r="V13" s="13" t="n">
        <v>6</v>
      </c>
      <c r="W13" s="11" t="n">
        <v>72</v>
      </c>
      <c r="X13" s="12" t="n">
        <f aca="false">N13/(N13+W13)</f>
        <v>0.441860465116279</v>
      </c>
    </row>
    <row r="14" customFormat="false" ht="12.8" hidden="false" customHeight="false" outlineLevel="0" collapsed="false">
      <c r="A14" s="1" t="s">
        <v>297</v>
      </c>
      <c r="B14" s="4" t="s">
        <v>298</v>
      </c>
      <c r="C14" s="6" t="n">
        <f aca="false">COUNTIF(F14:M14,10)</f>
        <v>5</v>
      </c>
      <c r="D14" s="6" t="n">
        <f aca="false">COUNTIF(O14:V14,10)</f>
        <v>3</v>
      </c>
      <c r="E14" s="7" t="n">
        <f aca="false">C14/(C14+D14)</f>
        <v>0.625</v>
      </c>
      <c r="F14" s="6" t="n">
        <v>0</v>
      </c>
      <c r="G14" s="6" t="n">
        <v>10</v>
      </c>
      <c r="H14" s="6" t="n">
        <v>10</v>
      </c>
      <c r="I14" s="6" t="n">
        <v>10</v>
      </c>
      <c r="J14" s="6" t="n">
        <v>6</v>
      </c>
      <c r="K14" s="6" t="n">
        <v>10</v>
      </c>
      <c r="L14" s="6" t="n">
        <v>4</v>
      </c>
      <c r="M14" s="6" t="n">
        <v>10</v>
      </c>
      <c r="N14" s="6" t="n">
        <v>60</v>
      </c>
      <c r="O14" s="6" t="n">
        <v>10</v>
      </c>
      <c r="P14" s="6" t="n">
        <v>5</v>
      </c>
      <c r="Q14" s="6" t="n">
        <v>5</v>
      </c>
      <c r="R14" s="6" t="n">
        <v>3</v>
      </c>
      <c r="S14" s="6" t="n">
        <v>10</v>
      </c>
      <c r="T14" s="6" t="n">
        <v>8</v>
      </c>
      <c r="U14" s="6" t="n">
        <v>10</v>
      </c>
      <c r="V14" s="6" t="n">
        <v>5</v>
      </c>
      <c r="W14" s="6" t="n">
        <v>56</v>
      </c>
      <c r="X14" s="7" t="n">
        <f aca="false">N14/(N14+W14)</f>
        <v>0.517241379310345</v>
      </c>
    </row>
    <row r="15" customFormat="false" ht="12.8" hidden="false" customHeight="false" outlineLevel="0" collapsed="false">
      <c r="A15" s="1" t="s">
        <v>299</v>
      </c>
      <c r="B15" s="4" t="s">
        <v>300</v>
      </c>
      <c r="C15" s="6" t="n">
        <f aca="false">COUNTIF(F15:M15,10)</f>
        <v>7</v>
      </c>
      <c r="D15" s="6" t="n">
        <f aca="false">COUNTIF(O15:V15,10)</f>
        <v>1</v>
      </c>
      <c r="E15" s="7" t="n">
        <f aca="false">C15/(C15+D15)</f>
        <v>0.875</v>
      </c>
      <c r="F15" s="6" t="n">
        <v>10</v>
      </c>
      <c r="G15" s="6" t="n">
        <v>10</v>
      </c>
      <c r="H15" s="6" t="n">
        <v>10</v>
      </c>
      <c r="I15" s="6" t="n">
        <v>10</v>
      </c>
      <c r="J15" s="6" t="n">
        <v>2</v>
      </c>
      <c r="K15" s="6" t="n">
        <v>10</v>
      </c>
      <c r="L15" s="6" t="n">
        <v>10</v>
      </c>
      <c r="M15" s="6" t="n">
        <v>10</v>
      </c>
      <c r="N15" s="6" t="n">
        <v>72</v>
      </c>
      <c r="O15" s="6" t="n">
        <v>4</v>
      </c>
      <c r="P15" s="6" t="n">
        <v>9</v>
      </c>
      <c r="Q15" s="6" t="n">
        <v>1</v>
      </c>
      <c r="R15" s="6" t="n">
        <v>8</v>
      </c>
      <c r="S15" s="6" t="n">
        <v>10</v>
      </c>
      <c r="T15" s="6" t="n">
        <v>9</v>
      </c>
      <c r="U15" s="6" t="n">
        <v>8</v>
      </c>
      <c r="V15" s="6" t="n">
        <v>5</v>
      </c>
      <c r="W15" s="6" t="n">
        <v>54</v>
      </c>
      <c r="X15" s="7" t="n">
        <f aca="false">N15/(N15+W15)</f>
        <v>0.571428571428571</v>
      </c>
    </row>
    <row r="16" customFormat="false" ht="12.8" hidden="false" customHeight="false" outlineLevel="0" collapsed="false">
      <c r="A16" s="1" t="s">
        <v>301</v>
      </c>
      <c r="B16" s="4" t="s">
        <v>302</v>
      </c>
      <c r="C16" s="6" t="n">
        <f aca="false">COUNTIF(F16:M16,10)</f>
        <v>4</v>
      </c>
      <c r="D16" s="6" t="n">
        <f aca="false">COUNTIF(O16:V16,10)</f>
        <v>4</v>
      </c>
      <c r="E16" s="7" t="n">
        <f aca="false">C16/(C16+D16)</f>
        <v>0.5</v>
      </c>
      <c r="F16" s="6" t="n">
        <v>10</v>
      </c>
      <c r="G16" s="6" t="n">
        <v>5</v>
      </c>
      <c r="H16" s="6" t="n">
        <v>1</v>
      </c>
      <c r="I16" s="6" t="n">
        <v>3</v>
      </c>
      <c r="J16" s="6" t="n">
        <v>6</v>
      </c>
      <c r="K16" s="6" t="n">
        <v>10</v>
      </c>
      <c r="L16" s="6" t="n">
        <v>10</v>
      </c>
      <c r="M16" s="6" t="n">
        <v>10</v>
      </c>
      <c r="N16" s="11" t="n">
        <v>55</v>
      </c>
      <c r="O16" s="6" t="n">
        <v>8</v>
      </c>
      <c r="P16" s="6" t="n">
        <v>10</v>
      </c>
      <c r="Q16" s="6" t="n">
        <v>10</v>
      </c>
      <c r="R16" s="6" t="n">
        <v>10</v>
      </c>
      <c r="S16" s="6" t="n">
        <v>10</v>
      </c>
      <c r="T16" s="6" t="n">
        <v>5</v>
      </c>
      <c r="U16" s="6" t="n">
        <v>8</v>
      </c>
      <c r="V16" s="6" t="n">
        <v>7</v>
      </c>
      <c r="W16" s="6" t="n">
        <v>68</v>
      </c>
      <c r="X16" s="12" t="n">
        <f aca="false">N16/(N16+W16)</f>
        <v>0.447154471544715</v>
      </c>
    </row>
    <row r="17" customFormat="false" ht="12.8" hidden="false" customHeight="false" outlineLevel="0" collapsed="false">
      <c r="A17" s="1" t="s">
        <v>303</v>
      </c>
      <c r="B17" s="4" t="s">
        <v>304</v>
      </c>
      <c r="C17" s="6" t="n">
        <f aca="false">COUNTIF(F17:M17,10)</f>
        <v>3</v>
      </c>
      <c r="D17" s="6" t="n">
        <f aca="false">COUNTIF(O17:V17,10)</f>
        <v>5</v>
      </c>
      <c r="E17" s="7" t="n">
        <f aca="false">C17/(C17+D17)</f>
        <v>0.375</v>
      </c>
      <c r="F17" s="6" t="n">
        <v>4</v>
      </c>
      <c r="G17" s="6" t="n">
        <v>10</v>
      </c>
      <c r="H17" s="6" t="n">
        <v>6</v>
      </c>
      <c r="I17" s="6" t="n">
        <v>3</v>
      </c>
      <c r="J17" s="6" t="n">
        <v>10</v>
      </c>
      <c r="K17" s="6" t="n">
        <v>10</v>
      </c>
      <c r="L17" s="6" t="n">
        <v>8</v>
      </c>
      <c r="M17" s="6" t="n">
        <v>9</v>
      </c>
      <c r="N17" s="6" t="n">
        <v>60</v>
      </c>
      <c r="O17" s="6" t="n">
        <v>10</v>
      </c>
      <c r="P17" s="6" t="n">
        <v>7</v>
      </c>
      <c r="Q17" s="6" t="n">
        <v>10</v>
      </c>
      <c r="R17" s="6" t="n">
        <v>10</v>
      </c>
      <c r="S17" s="6" t="n">
        <v>5</v>
      </c>
      <c r="T17" s="6" t="n">
        <v>9</v>
      </c>
      <c r="U17" s="6" t="n">
        <v>10</v>
      </c>
      <c r="V17" s="6" t="n">
        <v>10</v>
      </c>
      <c r="W17" s="6" t="n">
        <v>71</v>
      </c>
      <c r="X17" s="7" t="n">
        <f aca="false">N17/(N17+W17)</f>
        <v>0.458015267175573</v>
      </c>
    </row>
    <row r="18" customFormat="false" ht="12.8" hidden="false" customHeight="false" outlineLevel="0" collapsed="false">
      <c r="A18" s="1" t="s">
        <v>305</v>
      </c>
      <c r="B18" s="4" t="s">
        <v>306</v>
      </c>
      <c r="C18" s="6" t="n">
        <f aca="false">COUNTIF(F18:M18,10)</f>
        <v>4</v>
      </c>
      <c r="D18" s="6" t="n">
        <f aca="false">COUNTIF(O18:V18,10)</f>
        <v>4</v>
      </c>
      <c r="E18" s="7" t="n">
        <f aca="false">C18/(C18+D18)</f>
        <v>0.5</v>
      </c>
      <c r="F18" s="6" t="n">
        <v>10</v>
      </c>
      <c r="G18" s="6" t="n">
        <v>6</v>
      </c>
      <c r="H18" s="6" t="n">
        <v>7</v>
      </c>
      <c r="I18" s="6" t="n">
        <v>10</v>
      </c>
      <c r="J18" s="6" t="n">
        <v>10</v>
      </c>
      <c r="K18" s="6" t="n">
        <v>5</v>
      </c>
      <c r="L18" s="6" t="n">
        <v>10</v>
      </c>
      <c r="M18" s="6" t="n">
        <v>5</v>
      </c>
      <c r="N18" s="6" t="n">
        <v>63</v>
      </c>
      <c r="O18" s="6" t="n">
        <v>9</v>
      </c>
      <c r="P18" s="6" t="n">
        <v>10</v>
      </c>
      <c r="Q18" s="6" t="n">
        <v>10</v>
      </c>
      <c r="R18" s="6" t="n">
        <v>3</v>
      </c>
      <c r="S18" s="6" t="n">
        <v>6</v>
      </c>
      <c r="T18" s="6" t="n">
        <v>10</v>
      </c>
      <c r="U18" s="6" t="n">
        <v>8</v>
      </c>
      <c r="V18" s="6" t="n">
        <v>10</v>
      </c>
      <c r="W18" s="6" t="n">
        <v>66</v>
      </c>
      <c r="X18" s="7" t="n">
        <f aca="false">N18/(N18+W18)</f>
        <v>0.488372093023256</v>
      </c>
    </row>
    <row r="19" customFormat="false" ht="12.8" hidden="false" customHeight="false" outlineLevel="0" collapsed="false">
      <c r="A19" s="1" t="s">
        <v>307</v>
      </c>
      <c r="B19" s="4" t="s">
        <v>308</v>
      </c>
      <c r="C19" s="6" t="n">
        <f aca="false">COUNTIF(F19:M19,10)</f>
        <v>5</v>
      </c>
      <c r="D19" s="6" t="n">
        <f aca="false">COUNTIF(O19:V19,10)</f>
        <v>3</v>
      </c>
      <c r="E19" s="7" t="n">
        <f aca="false">C19/(C19+D19)</f>
        <v>0.625</v>
      </c>
      <c r="F19" s="6" t="n">
        <v>10</v>
      </c>
      <c r="G19" s="6" t="n">
        <v>10</v>
      </c>
      <c r="H19" s="6" t="n">
        <v>10</v>
      </c>
      <c r="I19" s="6" t="n">
        <v>8</v>
      </c>
      <c r="J19" s="6" t="n">
        <v>10</v>
      </c>
      <c r="K19" s="6" t="n">
        <v>8</v>
      </c>
      <c r="L19" s="6" t="n">
        <v>10</v>
      </c>
      <c r="M19" s="13" t="n">
        <v>6</v>
      </c>
      <c r="N19" s="11" t="n">
        <v>72</v>
      </c>
      <c r="O19" s="6" t="n">
        <v>2</v>
      </c>
      <c r="P19" s="6" t="n">
        <v>4</v>
      </c>
      <c r="Q19" s="6" t="n">
        <v>6</v>
      </c>
      <c r="R19" s="6" t="n">
        <v>10</v>
      </c>
      <c r="S19" s="6" t="n">
        <v>6</v>
      </c>
      <c r="T19" s="6" t="n">
        <v>10</v>
      </c>
      <c r="U19" s="6" t="n">
        <v>4</v>
      </c>
      <c r="V19" s="14" t="n">
        <v>10</v>
      </c>
      <c r="W19" s="6" t="n">
        <v>52</v>
      </c>
      <c r="X19" s="12" t="n">
        <f aca="false">N19/(N19+W19)</f>
        <v>0.580645161290323</v>
      </c>
    </row>
    <row r="20" customFormat="false" ht="12.8" hidden="false" customHeight="false" outlineLevel="0" collapsed="false">
      <c r="A20" s="1" t="s">
        <v>309</v>
      </c>
      <c r="B20" s="4" t="s">
        <v>310</v>
      </c>
      <c r="C20" s="6" t="n">
        <f aca="false">COUNTIF(F20:M20,10)</f>
        <v>1</v>
      </c>
      <c r="D20" s="6" t="n">
        <f aca="false">COUNTIF(O20:V20,10)</f>
        <v>7</v>
      </c>
      <c r="E20" s="7" t="n">
        <f aca="false">C20/(C20+D20)</f>
        <v>0.125</v>
      </c>
      <c r="F20" s="6" t="n">
        <v>9</v>
      </c>
      <c r="G20" s="6" t="n">
        <v>4</v>
      </c>
      <c r="H20" s="6" t="n">
        <v>6</v>
      </c>
      <c r="I20" s="6" t="n">
        <v>7</v>
      </c>
      <c r="J20" s="6" t="n">
        <v>10</v>
      </c>
      <c r="K20" s="6" t="n">
        <v>9</v>
      </c>
      <c r="L20" s="6" t="n">
        <v>8</v>
      </c>
      <c r="M20" s="6" t="n">
        <v>5</v>
      </c>
      <c r="N20" s="6" t="n">
        <v>58</v>
      </c>
      <c r="O20" s="6" t="n">
        <v>10</v>
      </c>
      <c r="P20" s="6" t="n">
        <v>10</v>
      </c>
      <c r="Q20" s="6" t="n">
        <v>10</v>
      </c>
      <c r="R20" s="6" t="n">
        <v>10</v>
      </c>
      <c r="S20" s="6" t="n">
        <v>2</v>
      </c>
      <c r="T20" s="6" t="n">
        <v>10</v>
      </c>
      <c r="U20" s="6" t="n">
        <v>10</v>
      </c>
      <c r="V20" s="6" t="n">
        <v>10</v>
      </c>
      <c r="W20" s="6" t="n">
        <v>72</v>
      </c>
      <c r="X20" s="7" t="n">
        <f aca="false">N20/(N20+W20)</f>
        <v>0.446153846153846</v>
      </c>
    </row>
    <row r="21" customFormat="false" ht="12.8" hidden="false" customHeight="false" outlineLevel="0" collapsed="false">
      <c r="A21" s="1" t="s">
        <v>311</v>
      </c>
      <c r="B21" s="4" t="s">
        <v>312</v>
      </c>
      <c r="C21" s="6" t="n">
        <f aca="false">COUNTIF(F21:M21,10)</f>
        <v>4</v>
      </c>
      <c r="D21" s="6" t="n">
        <f aca="false">COUNTIF(O21:V21,10)</f>
        <v>4</v>
      </c>
      <c r="E21" s="7" t="n">
        <f aca="false">C21/(C21+D21)</f>
        <v>0.5</v>
      </c>
      <c r="F21" s="6" t="n">
        <v>2</v>
      </c>
      <c r="G21" s="6" t="n">
        <v>10</v>
      </c>
      <c r="H21" s="6" t="n">
        <v>5</v>
      </c>
      <c r="I21" s="6" t="n">
        <v>10</v>
      </c>
      <c r="J21" s="6" t="n">
        <v>10</v>
      </c>
      <c r="K21" s="6" t="n">
        <v>9</v>
      </c>
      <c r="L21" s="6" t="n">
        <v>0</v>
      </c>
      <c r="M21" s="6" t="n">
        <v>10</v>
      </c>
      <c r="N21" s="6" t="n">
        <v>56</v>
      </c>
      <c r="O21" s="6" t="n">
        <v>10</v>
      </c>
      <c r="P21" s="6" t="n">
        <v>6</v>
      </c>
      <c r="Q21" s="6" t="n">
        <v>10</v>
      </c>
      <c r="R21" s="6" t="n">
        <v>3</v>
      </c>
      <c r="S21" s="6" t="n">
        <v>3</v>
      </c>
      <c r="T21" s="6" t="n">
        <v>10</v>
      </c>
      <c r="U21" s="6" t="n">
        <v>10</v>
      </c>
      <c r="V21" s="6" t="n">
        <v>9</v>
      </c>
      <c r="W21" s="6" t="n">
        <v>61</v>
      </c>
      <c r="X21" s="7" t="n">
        <f aca="false">N21/(N21+W21)</f>
        <v>0.478632478632479</v>
      </c>
    </row>
    <row r="23" customFormat="false" ht="12.8" hidden="false" customHeight="false" outlineLevel="0" collapsed="false">
      <c r="A23" s="15" t="s">
        <v>171</v>
      </c>
      <c r="C23" s="5"/>
    </row>
    <row r="24" customFormat="false" ht="12.8" hidden="false" customHeight="false" outlineLevel="0" collapsed="false">
      <c r="A24" s="17" t="s">
        <v>313</v>
      </c>
      <c r="C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4" width="14.53"/>
    <col collapsed="false" customWidth="true" hidden="false" outlineLevel="0" max="4" min="3" style="6" width="7.16"/>
    <col collapsed="false" customWidth="true" hidden="false" outlineLevel="0" max="5" min="5" style="7" width="8.37"/>
    <col collapsed="false" customWidth="true" hidden="false" outlineLevel="0" max="11" min="6" style="6" width="5.46"/>
    <col collapsed="false" customWidth="true" hidden="false" outlineLevel="0" max="12" min="12" style="6" width="8.96"/>
    <col collapsed="false" customWidth="true" hidden="false" outlineLevel="0" max="18" min="13" style="6" width="5.46"/>
    <col collapsed="false" customWidth="true" hidden="false" outlineLevel="0" max="19" min="19" style="6" width="9.16"/>
    <col collapsed="false" customWidth="true" hidden="false" outlineLevel="0" max="20" min="20" style="7" width="7.88"/>
  </cols>
  <sheetData>
    <row r="1" customFormat="false" ht="12.8" hidden="false" customHeight="false" outlineLevel="0" collapsed="false">
      <c r="A1" s="2" t="s">
        <v>184</v>
      </c>
      <c r="B1" s="3" t="s">
        <v>272</v>
      </c>
      <c r="C1" s="2" t="s">
        <v>147</v>
      </c>
      <c r="D1" s="2" t="s">
        <v>148</v>
      </c>
      <c r="E1" s="8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167</v>
      </c>
      <c r="T1" s="8" t="s">
        <v>168</v>
      </c>
    </row>
    <row r="2" customFormat="false" ht="12.8" hidden="false" customHeight="false" outlineLevel="0" collapsed="false">
      <c r="A2" s="1" t="s">
        <v>281</v>
      </c>
      <c r="B2" s="4" t="s">
        <v>282</v>
      </c>
      <c r="C2" s="6" t="n">
        <f aca="false">COUNTIF(F2:K2,10)</f>
        <v>4</v>
      </c>
      <c r="D2" s="6" t="n">
        <f aca="false">COUNTIF(M2:R2,10)</f>
        <v>1</v>
      </c>
      <c r="E2" s="7" t="n">
        <f aca="false">C2/(C2+D2)</f>
        <v>0.8</v>
      </c>
      <c r="F2" s="6" t="n">
        <v>10</v>
      </c>
      <c r="G2" s="6" t="n">
        <v>5</v>
      </c>
      <c r="H2" s="6" t="n">
        <v>10</v>
      </c>
      <c r="I2" s="6" t="n">
        <v>10</v>
      </c>
      <c r="J2" s="6" t="n">
        <v>10</v>
      </c>
      <c r="K2" s="6" t="s">
        <v>169</v>
      </c>
      <c r="L2" s="6" t="n">
        <f aca="false">SUM(F2:K2)</f>
        <v>45</v>
      </c>
      <c r="M2" s="6" t="n">
        <v>3</v>
      </c>
      <c r="N2" s="6" t="n">
        <v>10</v>
      </c>
      <c r="O2" s="6" t="n">
        <v>8</v>
      </c>
      <c r="P2" s="6" t="n">
        <v>3</v>
      </c>
      <c r="Q2" s="6" t="n">
        <v>2</v>
      </c>
      <c r="R2" s="6" t="s">
        <v>169</v>
      </c>
      <c r="S2" s="6" t="n">
        <f aca="false">SUM(M2:R2)</f>
        <v>26</v>
      </c>
      <c r="T2" s="7" t="n">
        <f aca="false">L2/(L2+S2)</f>
        <v>0.633802816901409</v>
      </c>
    </row>
    <row r="3" customFormat="false" ht="12.8" hidden="false" customHeight="false" outlineLevel="0" collapsed="false">
      <c r="A3" s="1" t="s">
        <v>299</v>
      </c>
      <c r="B3" s="4" t="s">
        <v>300</v>
      </c>
      <c r="C3" s="6" t="n">
        <f aca="false">COUNTIF(F3:K3,10)</f>
        <v>2</v>
      </c>
      <c r="D3" s="6" t="n">
        <f aca="false">COUNTIF(M3:R3,10)</f>
        <v>2</v>
      </c>
      <c r="E3" s="7" t="n">
        <f aca="false">C3/(C3+D3)</f>
        <v>0.5</v>
      </c>
      <c r="F3" s="6" t="n">
        <v>10</v>
      </c>
      <c r="G3" s="6" t="n">
        <v>10</v>
      </c>
      <c r="H3" s="6" t="s">
        <v>169</v>
      </c>
      <c r="I3" s="6" t="n">
        <v>3</v>
      </c>
      <c r="J3" s="6" t="n">
        <v>2</v>
      </c>
      <c r="K3" s="6" t="s">
        <v>169</v>
      </c>
      <c r="L3" s="6" t="n">
        <f aca="false">SUM(F3:K3)</f>
        <v>25</v>
      </c>
      <c r="M3" s="6" t="n">
        <v>2</v>
      </c>
      <c r="N3" s="6" t="n">
        <v>8</v>
      </c>
      <c r="O3" s="6" t="s">
        <v>169</v>
      </c>
      <c r="P3" s="6" t="n">
        <v>10</v>
      </c>
      <c r="Q3" s="6" t="n">
        <v>10</v>
      </c>
      <c r="R3" s="6" t="s">
        <v>169</v>
      </c>
      <c r="S3" s="6" t="n">
        <f aca="false">SUM(M3:R3)</f>
        <v>30</v>
      </c>
      <c r="T3" s="7" t="n">
        <f aca="false">L3/(L3+S3)</f>
        <v>0.454545454545455</v>
      </c>
    </row>
    <row r="4" customFormat="false" ht="12.8" hidden="false" customHeight="false" outlineLevel="0" collapsed="false">
      <c r="A4" s="1" t="s">
        <v>293</v>
      </c>
      <c r="B4" s="4" t="s">
        <v>294</v>
      </c>
      <c r="C4" s="6" t="n">
        <f aca="false">COUNTIF(F4:K4,10)</f>
        <v>1</v>
      </c>
      <c r="D4" s="6" t="n">
        <f aca="false">COUNTIF(M4:R4,10)</f>
        <v>2</v>
      </c>
      <c r="E4" s="7" t="n">
        <f aca="false">C4/(C4+D4)</f>
        <v>0.333333333333333</v>
      </c>
      <c r="F4" s="6" t="n">
        <v>3</v>
      </c>
      <c r="G4" s="6" t="n">
        <v>10</v>
      </c>
      <c r="H4" s="6" t="n">
        <v>8</v>
      </c>
      <c r="I4" s="6" t="s">
        <v>169</v>
      </c>
      <c r="J4" s="6" t="s">
        <v>169</v>
      </c>
      <c r="K4" s="6" t="s">
        <v>169</v>
      </c>
      <c r="L4" s="6" t="n">
        <f aca="false">SUM(F4:K4)</f>
        <v>21</v>
      </c>
      <c r="M4" s="6" t="n">
        <v>10</v>
      </c>
      <c r="N4" s="6" t="n">
        <v>5</v>
      </c>
      <c r="O4" s="6" t="n">
        <v>10</v>
      </c>
      <c r="P4" s="6" t="s">
        <v>169</v>
      </c>
      <c r="Q4" s="6" t="s">
        <v>169</v>
      </c>
      <c r="R4" s="6" t="s">
        <v>169</v>
      </c>
      <c r="S4" s="6" t="n">
        <f aca="false">SUM(M4:R4)</f>
        <v>25</v>
      </c>
      <c r="T4" s="7" t="n">
        <f aca="false">L4/(L4+S4)</f>
        <v>0.456521739130435</v>
      </c>
    </row>
    <row r="5" customFormat="false" ht="12.8" hidden="false" customHeight="false" outlineLevel="0" collapsed="false">
      <c r="A5" s="1" t="s">
        <v>275</v>
      </c>
      <c r="B5" s="4" t="s">
        <v>276</v>
      </c>
      <c r="C5" s="6" t="n">
        <f aca="false">COUNTIF(F5:K5,10)</f>
        <v>0</v>
      </c>
      <c r="D5" s="6" t="n">
        <f aca="false">COUNTIF(M5:R5,10)</f>
        <v>2</v>
      </c>
      <c r="E5" s="7" t="n">
        <f aca="false">C5/(C5+D5)</f>
        <v>0</v>
      </c>
      <c r="F5" s="6" t="n">
        <v>2</v>
      </c>
      <c r="G5" s="6" t="n">
        <v>8</v>
      </c>
      <c r="H5" s="6" t="s">
        <v>169</v>
      </c>
      <c r="I5" s="6" t="s">
        <v>169</v>
      </c>
      <c r="J5" s="6" t="s">
        <v>169</v>
      </c>
      <c r="K5" s="6" t="s">
        <v>169</v>
      </c>
      <c r="L5" s="6" t="n">
        <f aca="false">SUM(F5:K5)</f>
        <v>10</v>
      </c>
      <c r="M5" s="6" t="n">
        <v>10</v>
      </c>
      <c r="N5" s="6" t="n">
        <v>10</v>
      </c>
      <c r="O5" s="6" t="s">
        <v>169</v>
      </c>
      <c r="P5" s="6" t="s">
        <v>169</v>
      </c>
      <c r="Q5" s="6" t="s">
        <v>169</v>
      </c>
      <c r="R5" s="6" t="s">
        <v>169</v>
      </c>
      <c r="S5" s="6" t="n">
        <f aca="false">SUM(M5:R5)</f>
        <v>20</v>
      </c>
      <c r="T5" s="7" t="n">
        <f aca="false">L5/(L5+S5)</f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8.87"/>
    <col collapsed="false" customWidth="true" hidden="false" outlineLevel="0" max="3" min="3" style="4" width="24.77"/>
    <col collapsed="false" customWidth="false" hidden="false" outlineLevel="0" max="5" min="4" style="18" width="11.53"/>
    <col collapsed="false" customWidth="true" hidden="false" outlineLevel="0" max="6" min="6" style="5" width="12.04"/>
    <col collapsed="false" customWidth="true" hidden="false" outlineLevel="0" max="7" min="7" style="18" width="11.25"/>
    <col collapsed="false" customWidth="true" hidden="false" outlineLevel="0" max="8" min="8" style="18" width="10.75"/>
  </cols>
  <sheetData>
    <row r="1" customFormat="false" ht="12.8" hidden="false" customHeight="false" outlineLevel="0" collapsed="false">
      <c r="A1" s="2" t="s">
        <v>314</v>
      </c>
      <c r="B1" s="2" t="s">
        <v>184</v>
      </c>
      <c r="C1" s="3" t="s">
        <v>272</v>
      </c>
      <c r="D1" s="8" t="s">
        <v>149</v>
      </c>
      <c r="E1" s="8" t="s">
        <v>168</v>
      </c>
      <c r="F1" s="3" t="s">
        <v>315</v>
      </c>
      <c r="G1" s="8" t="s">
        <v>316</v>
      </c>
      <c r="H1" s="8" t="s">
        <v>317</v>
      </c>
    </row>
    <row r="2" customFormat="false" ht="12.8" hidden="false" customHeight="false" outlineLevel="0" collapsed="false">
      <c r="A2" s="1" t="n">
        <v>1</v>
      </c>
      <c r="B2" s="1" t="s">
        <v>281</v>
      </c>
      <c r="C2" s="4" t="s">
        <v>282</v>
      </c>
      <c r="D2" s="18" t="n">
        <v>0.875</v>
      </c>
      <c r="E2" s="18" t="n">
        <v>0.688</v>
      </c>
      <c r="F2" s="5" t="n">
        <v>2</v>
      </c>
      <c r="G2" s="18" t="n">
        <v>0.8</v>
      </c>
      <c r="H2" s="18" t="n">
        <v>0.633802816901409</v>
      </c>
    </row>
    <row r="3" customFormat="false" ht="12.8" hidden="false" customHeight="false" outlineLevel="0" collapsed="false">
      <c r="A3" s="1" t="n">
        <v>2</v>
      </c>
      <c r="B3" s="1" t="s">
        <v>299</v>
      </c>
      <c r="C3" s="4" t="s">
        <v>300</v>
      </c>
      <c r="D3" s="18" t="n">
        <v>0.875</v>
      </c>
      <c r="E3" s="18" t="n">
        <v>0.571</v>
      </c>
      <c r="F3" s="5" t="n">
        <v>1</v>
      </c>
      <c r="G3" s="18" t="n">
        <v>0.5</v>
      </c>
      <c r="H3" s="18" t="n">
        <v>0.454545454545455</v>
      </c>
    </row>
    <row r="4" customFormat="false" ht="12.8" hidden="false" customHeight="false" outlineLevel="0" collapsed="false">
      <c r="A4" s="1" t="n">
        <v>3</v>
      </c>
      <c r="B4" s="1" t="s">
        <v>293</v>
      </c>
      <c r="C4" s="4" t="s">
        <v>294</v>
      </c>
      <c r="D4" s="18" t="n">
        <v>0.625</v>
      </c>
      <c r="E4" s="18" t="n">
        <v>0.577</v>
      </c>
      <c r="F4" s="5" t="n">
        <v>0</v>
      </c>
      <c r="G4" s="18" t="n">
        <v>0.333333333333333</v>
      </c>
      <c r="H4" s="18" t="n">
        <v>0.456521739130435</v>
      </c>
    </row>
    <row r="5" customFormat="false" ht="12.8" hidden="false" customHeight="false" outlineLevel="0" collapsed="false">
      <c r="A5" s="1" t="n">
        <v>4</v>
      </c>
      <c r="B5" s="1" t="s">
        <v>275</v>
      </c>
      <c r="C5" s="4" t="s">
        <v>276</v>
      </c>
      <c r="D5" s="18" t="n">
        <v>0.75</v>
      </c>
      <c r="E5" s="18" t="n">
        <v>0.563</v>
      </c>
      <c r="F5" s="5" t="n">
        <v>0</v>
      </c>
      <c r="G5" s="18" t="n">
        <v>0</v>
      </c>
      <c r="H5" s="18" t="n">
        <v>0.333333333333333</v>
      </c>
    </row>
    <row r="6" customFormat="false" ht="12.8" hidden="false" customHeight="false" outlineLevel="0" collapsed="false">
      <c r="A6" s="1" t="n">
        <v>5</v>
      </c>
      <c r="B6" s="1" t="s">
        <v>307</v>
      </c>
      <c r="C6" s="4" t="s">
        <v>308</v>
      </c>
      <c r="D6" s="18" t="n">
        <v>0.625</v>
      </c>
      <c r="E6" s="18" t="n">
        <v>0.577</v>
      </c>
    </row>
    <row r="7" customFormat="false" ht="12.8" hidden="false" customHeight="false" outlineLevel="0" collapsed="false">
      <c r="A7" s="1" t="n">
        <v>6</v>
      </c>
      <c r="B7" s="1" t="s">
        <v>297</v>
      </c>
      <c r="C7" s="4" t="s">
        <v>298</v>
      </c>
      <c r="D7" s="18" t="n">
        <v>0.625</v>
      </c>
      <c r="E7" s="18" t="n">
        <v>0.517</v>
      </c>
    </row>
    <row r="8" customFormat="false" ht="12.8" hidden="false" customHeight="false" outlineLevel="0" collapsed="false">
      <c r="A8" s="1" t="n">
        <v>7</v>
      </c>
      <c r="B8" s="1" t="s">
        <v>285</v>
      </c>
      <c r="C8" s="4" t="s">
        <v>286</v>
      </c>
      <c r="D8" s="18" t="n">
        <v>0.625</v>
      </c>
      <c r="E8" s="18" t="n">
        <v>0.479</v>
      </c>
    </row>
    <row r="9" customFormat="false" ht="12.8" hidden="false" customHeight="false" outlineLevel="0" collapsed="false">
      <c r="A9" s="1" t="n">
        <v>8</v>
      </c>
      <c r="B9" s="1" t="s">
        <v>279</v>
      </c>
      <c r="C9" s="4" t="s">
        <v>280</v>
      </c>
      <c r="D9" s="18" t="n">
        <v>0.5</v>
      </c>
      <c r="E9" s="18" t="n">
        <v>0.519</v>
      </c>
    </row>
    <row r="10" customFormat="false" ht="12.8" hidden="false" customHeight="false" outlineLevel="0" collapsed="false">
      <c r="A10" s="1" t="n">
        <v>9</v>
      </c>
      <c r="B10" s="1" t="s">
        <v>289</v>
      </c>
      <c r="C10" s="4" t="s">
        <v>290</v>
      </c>
      <c r="D10" s="18" t="n">
        <v>0.5</v>
      </c>
      <c r="E10" s="18" t="n">
        <v>0.504</v>
      </c>
    </row>
    <row r="11" customFormat="false" ht="12.8" hidden="false" customHeight="false" outlineLevel="0" collapsed="false">
      <c r="A11" s="1" t="n">
        <v>10</v>
      </c>
      <c r="B11" s="1" t="s">
        <v>273</v>
      </c>
      <c r="C11" s="4" t="s">
        <v>274</v>
      </c>
      <c r="D11" s="18" t="n">
        <v>0.5</v>
      </c>
      <c r="E11" s="18" t="n">
        <v>0.496</v>
      </c>
    </row>
    <row r="12" customFormat="false" ht="12.8" hidden="false" customHeight="false" outlineLevel="0" collapsed="false">
      <c r="A12" s="1" t="n">
        <v>11</v>
      </c>
      <c r="B12" s="1" t="s">
        <v>311</v>
      </c>
      <c r="C12" s="4" t="s">
        <v>312</v>
      </c>
      <c r="D12" s="18" t="n">
        <v>0.5</v>
      </c>
      <c r="E12" s="18" t="n">
        <v>0.479</v>
      </c>
    </row>
    <row r="13" customFormat="false" ht="12.8" hidden="false" customHeight="false" outlineLevel="0" collapsed="false">
      <c r="A13" s="1" t="n">
        <v>12</v>
      </c>
      <c r="B13" s="1" t="s">
        <v>301</v>
      </c>
      <c r="C13" s="4" t="s">
        <v>302</v>
      </c>
      <c r="D13" s="18" t="n">
        <v>0.5</v>
      </c>
      <c r="E13" s="18" t="n">
        <v>0.443</v>
      </c>
    </row>
    <row r="14" customFormat="false" ht="12.8" hidden="false" customHeight="false" outlineLevel="0" collapsed="false">
      <c r="A14" s="1" t="n">
        <v>13</v>
      </c>
      <c r="B14" s="1" t="s">
        <v>305</v>
      </c>
      <c r="C14" s="4" t="s">
        <v>306</v>
      </c>
      <c r="D14" s="18" t="n">
        <v>0.5</v>
      </c>
      <c r="E14" s="18" t="n">
        <v>0.488</v>
      </c>
    </row>
    <row r="15" customFormat="false" ht="12.8" hidden="false" customHeight="false" outlineLevel="0" collapsed="false">
      <c r="A15" s="1" t="n">
        <v>14</v>
      </c>
      <c r="B15" s="1" t="s">
        <v>303</v>
      </c>
      <c r="C15" s="4" t="s">
        <v>304</v>
      </c>
      <c r="D15" s="18" t="n">
        <v>0.375</v>
      </c>
      <c r="E15" s="18" t="n">
        <v>0.458</v>
      </c>
    </row>
    <row r="16" customFormat="false" ht="12.8" hidden="false" customHeight="false" outlineLevel="0" collapsed="false">
      <c r="A16" s="1" t="n">
        <v>15</v>
      </c>
      <c r="B16" s="1" t="s">
        <v>283</v>
      </c>
      <c r="C16" s="4" t="s">
        <v>284</v>
      </c>
      <c r="D16" s="18" t="n">
        <v>0.375</v>
      </c>
      <c r="E16" s="18" t="n">
        <v>0.456</v>
      </c>
    </row>
    <row r="17" customFormat="false" ht="12.8" hidden="false" customHeight="false" outlineLevel="0" collapsed="false">
      <c r="A17" s="1" t="n">
        <v>16</v>
      </c>
      <c r="B17" s="1" t="s">
        <v>277</v>
      </c>
      <c r="C17" s="4" t="s">
        <v>278</v>
      </c>
      <c r="D17" s="18" t="n">
        <v>0.375</v>
      </c>
      <c r="E17" s="18" t="n">
        <v>0.456</v>
      </c>
    </row>
    <row r="18" customFormat="false" ht="12.8" hidden="false" customHeight="false" outlineLevel="0" collapsed="false">
      <c r="A18" s="1" t="n">
        <v>17</v>
      </c>
      <c r="B18" s="1" t="s">
        <v>287</v>
      </c>
      <c r="C18" s="4" t="s">
        <v>288</v>
      </c>
      <c r="D18" s="18" t="n">
        <v>0.25</v>
      </c>
      <c r="E18" s="18" t="n">
        <v>0.438</v>
      </c>
    </row>
    <row r="19" customFormat="false" ht="12.8" hidden="false" customHeight="false" outlineLevel="0" collapsed="false">
      <c r="A19" s="1" t="n">
        <v>18</v>
      </c>
      <c r="B19" s="1" t="s">
        <v>295</v>
      </c>
      <c r="C19" s="4" t="s">
        <v>296</v>
      </c>
      <c r="D19" s="18" t="n">
        <v>0.25</v>
      </c>
      <c r="E19" s="18" t="n">
        <v>0.435</v>
      </c>
    </row>
    <row r="20" customFormat="false" ht="12.8" hidden="false" customHeight="false" outlineLevel="0" collapsed="false">
      <c r="A20" s="1" t="n">
        <v>19</v>
      </c>
      <c r="B20" s="1" t="s">
        <v>291</v>
      </c>
      <c r="C20" s="4" t="s">
        <v>292</v>
      </c>
      <c r="D20" s="18" t="n">
        <v>0.25</v>
      </c>
      <c r="E20" s="18" t="n">
        <v>0.417</v>
      </c>
    </row>
    <row r="21" customFormat="false" ht="12.8" hidden="false" customHeight="false" outlineLevel="0" collapsed="false">
      <c r="A21" s="1" t="n">
        <v>20</v>
      </c>
      <c r="B21" s="1" t="s">
        <v>309</v>
      </c>
      <c r="C21" s="4" t="s">
        <v>310</v>
      </c>
      <c r="D21" s="18" t="n">
        <v>0.125</v>
      </c>
      <c r="E21" s="18" t="n">
        <v>0.446</v>
      </c>
    </row>
    <row r="23" customFormat="false" ht="12.8" hidden="false" customHeight="false" outlineLevel="0" collapsed="false">
      <c r="B23" s="5"/>
      <c r="C23" s="5"/>
      <c r="D23" s="5"/>
      <c r="E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2026-08-24T11:01:38Z</dcterms:created>
  <dc:creator/>
  <dc:description/>
  <dc:language>en-US</dc:language>
  <cp:lastModifiedBy/>
  <dcterms:modified xsi:type="dcterms:W3CDTF">2026-09-03T13:01:16Z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